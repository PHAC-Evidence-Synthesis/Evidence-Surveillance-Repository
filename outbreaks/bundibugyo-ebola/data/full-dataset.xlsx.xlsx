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022gc.sharepoint.com/sites/ProjectPHRS-KSteamprojectrepositoryNMLB-SOR/Shared Documents/Bundibugyo- 2026/Evidence Surveillance/"/>
    </mc:Choice>
  </mc:AlternateContent>
  <xr:revisionPtr revIDLastSave="71" documentId="8_{7098B86C-D03D-47C3-943C-7526BC3ECF0F}" xr6:coauthVersionLast="47" xr6:coauthVersionMax="47" xr10:uidLastSave="{F226462C-9F7D-40D2-8F25-F701F84AC90C}"/>
  <bookViews>
    <workbookView xWindow="-120" yWindow="-120" windowWidth="29040" windowHeight="15720" xr2:uid="{8455FFA9-4AF4-437D-894C-072EBB6C3E68}"/>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02" i="1" l="1"/>
  <c r="A203" i="1"/>
  <c r="A201" i="1"/>
  <c r="A196" i="1"/>
  <c r="C196" i="1"/>
  <c r="D196" i="1"/>
  <c r="E196" i="1"/>
  <c r="F196" i="1"/>
  <c r="G196" i="1"/>
  <c r="H196" i="1"/>
  <c r="I196" i="1"/>
  <c r="J196" i="1"/>
  <c r="K196" i="1"/>
  <c r="N196" i="1"/>
  <c r="B196" i="1" s="1"/>
  <c r="A197" i="1"/>
  <c r="C197" i="1"/>
  <c r="D197" i="1"/>
  <c r="E197" i="1"/>
  <c r="F197" i="1"/>
  <c r="G197" i="1"/>
  <c r="H197" i="1"/>
  <c r="I197" i="1"/>
  <c r="J197" i="1"/>
  <c r="K197" i="1"/>
  <c r="N197" i="1"/>
  <c r="B197" i="1" s="1"/>
  <c r="A198" i="1"/>
  <c r="C198" i="1"/>
  <c r="D198" i="1"/>
  <c r="E198" i="1"/>
  <c r="F198" i="1"/>
  <c r="G198" i="1"/>
  <c r="H198" i="1"/>
  <c r="I198" i="1"/>
  <c r="J198" i="1"/>
  <c r="K198" i="1"/>
  <c r="N198" i="1"/>
  <c r="B198" i="1" s="1"/>
  <c r="A199" i="1"/>
  <c r="C199" i="1"/>
  <c r="D199" i="1"/>
  <c r="E199" i="1"/>
  <c r="F199" i="1"/>
  <c r="G199" i="1"/>
  <c r="H199" i="1"/>
  <c r="I199" i="1"/>
  <c r="J199" i="1"/>
  <c r="K199" i="1"/>
  <c r="N199" i="1"/>
  <c r="B199" i="1" s="1"/>
  <c r="A200" i="1"/>
  <c r="C200" i="1"/>
  <c r="D200" i="1"/>
  <c r="E200" i="1"/>
  <c r="F200" i="1"/>
  <c r="G200" i="1"/>
  <c r="H200" i="1"/>
  <c r="I200" i="1"/>
  <c r="J200" i="1"/>
  <c r="K200" i="1"/>
  <c r="N200" i="1"/>
  <c r="B200" i="1" s="1"/>
  <c r="C201" i="1"/>
  <c r="D201" i="1"/>
  <c r="E201" i="1"/>
  <c r="F201" i="1"/>
  <c r="G201" i="1"/>
  <c r="H201" i="1"/>
  <c r="I201" i="1"/>
  <c r="J201" i="1"/>
  <c r="K201" i="1"/>
  <c r="N201" i="1"/>
  <c r="B201" i="1" s="1"/>
  <c r="A202" i="1"/>
  <c r="C202" i="1"/>
  <c r="D202" i="1"/>
  <c r="E202" i="1"/>
  <c r="F202" i="1"/>
  <c r="G202" i="1"/>
  <c r="H202" i="1"/>
  <c r="I202" i="1"/>
  <c r="J202" i="1"/>
  <c r="K202" i="1"/>
  <c r="C203" i="1"/>
  <c r="D203" i="1"/>
  <c r="E203" i="1"/>
  <c r="F203" i="1"/>
  <c r="G203" i="1"/>
  <c r="H203" i="1"/>
  <c r="I203" i="1"/>
  <c r="J203" i="1"/>
  <c r="K203" i="1"/>
  <c r="N203" i="1"/>
  <c r="B203" i="1" s="1"/>
  <c r="A204" i="1"/>
  <c r="C204" i="1"/>
  <c r="D204" i="1"/>
  <c r="E204" i="1"/>
  <c r="F204" i="1"/>
  <c r="G204" i="1"/>
  <c r="H204" i="1"/>
  <c r="I204" i="1"/>
  <c r="J204" i="1"/>
  <c r="K204" i="1"/>
  <c r="N204" i="1"/>
  <c r="B204" i="1" s="1"/>
  <c r="A194" i="1"/>
  <c r="C194" i="1"/>
  <c r="D194" i="1"/>
  <c r="E194" i="1"/>
  <c r="F194" i="1"/>
  <c r="G194" i="1"/>
  <c r="H194" i="1"/>
  <c r="I194" i="1"/>
  <c r="J194" i="1"/>
  <c r="K194" i="1"/>
  <c r="N194" i="1"/>
  <c r="B194" i="1" s="1"/>
  <c r="A195" i="1"/>
  <c r="C195" i="1"/>
  <c r="D195" i="1"/>
  <c r="E195" i="1"/>
  <c r="F195" i="1"/>
  <c r="G195" i="1"/>
  <c r="H195" i="1"/>
  <c r="I195" i="1"/>
  <c r="J195" i="1"/>
  <c r="K195" i="1"/>
  <c r="N195" i="1"/>
  <c r="B195" i="1" s="1"/>
  <c r="F189" i="1"/>
  <c r="A188" i="1"/>
  <c r="C188" i="1"/>
  <c r="D188" i="1"/>
  <c r="E188" i="1"/>
  <c r="F188" i="1"/>
  <c r="G188" i="1"/>
  <c r="H188" i="1"/>
  <c r="I188" i="1"/>
  <c r="J188" i="1"/>
  <c r="K188" i="1"/>
  <c r="N188" i="1"/>
  <c r="B188" i="1" s="1"/>
  <c r="A189" i="1"/>
  <c r="C189" i="1"/>
  <c r="D189" i="1"/>
  <c r="E189" i="1"/>
  <c r="G189" i="1"/>
  <c r="H189" i="1"/>
  <c r="I189" i="1"/>
  <c r="J189" i="1"/>
  <c r="K189" i="1"/>
  <c r="N189" i="1"/>
  <c r="B189" i="1" s="1"/>
  <c r="A190" i="1"/>
  <c r="C190" i="1"/>
  <c r="D190" i="1"/>
  <c r="E190" i="1"/>
  <c r="F190" i="1"/>
  <c r="G190" i="1"/>
  <c r="H190" i="1"/>
  <c r="I190" i="1"/>
  <c r="J190" i="1"/>
  <c r="K190" i="1"/>
  <c r="N190" i="1"/>
  <c r="B190" i="1" s="1"/>
  <c r="A191" i="1"/>
  <c r="C191" i="1"/>
  <c r="D191" i="1"/>
  <c r="E191" i="1"/>
  <c r="F191" i="1"/>
  <c r="G191" i="1"/>
  <c r="H191" i="1"/>
  <c r="I191" i="1"/>
  <c r="J191" i="1"/>
  <c r="K191" i="1"/>
  <c r="N191" i="1"/>
  <c r="B191" i="1" s="1"/>
  <c r="A192" i="1"/>
  <c r="C192" i="1"/>
  <c r="D192" i="1"/>
  <c r="E192" i="1"/>
  <c r="F192" i="1"/>
  <c r="G192" i="1"/>
  <c r="H192" i="1"/>
  <c r="I192" i="1"/>
  <c r="J192" i="1"/>
  <c r="K192" i="1"/>
  <c r="N192" i="1"/>
  <c r="B192" i="1" s="1"/>
  <c r="A193" i="1"/>
  <c r="C193" i="1"/>
  <c r="D193" i="1"/>
  <c r="E193" i="1"/>
  <c r="F193" i="1"/>
  <c r="G193" i="1"/>
  <c r="H193" i="1"/>
  <c r="I193" i="1"/>
  <c r="J193" i="1"/>
  <c r="K193" i="1"/>
  <c r="N193" i="1"/>
  <c r="B193" i="1" s="1"/>
  <c r="A180" i="1"/>
  <c r="A179" i="1"/>
  <c r="C179" i="1"/>
  <c r="D179" i="1"/>
  <c r="E179" i="1"/>
  <c r="F179" i="1"/>
  <c r="G179" i="1"/>
  <c r="H179" i="1"/>
  <c r="I179" i="1"/>
  <c r="J179" i="1"/>
  <c r="K179" i="1"/>
  <c r="N179" i="1"/>
  <c r="B179" i="1" s="1"/>
  <c r="C180" i="1"/>
  <c r="D180" i="1"/>
  <c r="E180" i="1"/>
  <c r="F180" i="1"/>
  <c r="G180" i="1"/>
  <c r="H180" i="1"/>
  <c r="I180" i="1"/>
  <c r="J180" i="1"/>
  <c r="K180" i="1"/>
  <c r="N180" i="1"/>
  <c r="B180" i="1" s="1"/>
  <c r="A181" i="1"/>
  <c r="C181" i="1"/>
  <c r="D181" i="1"/>
  <c r="E181" i="1"/>
  <c r="F181" i="1"/>
  <c r="G181" i="1"/>
  <c r="H181" i="1"/>
  <c r="I181" i="1"/>
  <c r="J181" i="1"/>
  <c r="K181" i="1"/>
  <c r="N181" i="1"/>
  <c r="B181" i="1" s="1"/>
  <c r="A182" i="1"/>
  <c r="C182" i="1"/>
  <c r="D182" i="1"/>
  <c r="E182" i="1"/>
  <c r="F182" i="1"/>
  <c r="G182" i="1"/>
  <c r="H182" i="1"/>
  <c r="I182" i="1"/>
  <c r="J182" i="1"/>
  <c r="K182" i="1"/>
  <c r="N182" i="1"/>
  <c r="B182" i="1" s="1"/>
  <c r="A183" i="1"/>
  <c r="C183" i="1"/>
  <c r="D183" i="1"/>
  <c r="E183" i="1"/>
  <c r="F183" i="1"/>
  <c r="G183" i="1"/>
  <c r="H183" i="1"/>
  <c r="I183" i="1"/>
  <c r="J183" i="1"/>
  <c r="K183" i="1"/>
  <c r="N183" i="1"/>
  <c r="B183" i="1" s="1"/>
  <c r="A184" i="1"/>
  <c r="C184" i="1"/>
  <c r="D184" i="1"/>
  <c r="E184" i="1"/>
  <c r="F184" i="1"/>
  <c r="G184" i="1"/>
  <c r="H184" i="1"/>
  <c r="I184" i="1"/>
  <c r="J184" i="1"/>
  <c r="K184" i="1"/>
  <c r="N184" i="1"/>
  <c r="B184" i="1" s="1"/>
  <c r="A185" i="1"/>
  <c r="C185" i="1"/>
  <c r="D185" i="1"/>
  <c r="E185" i="1"/>
  <c r="F185" i="1"/>
  <c r="G185" i="1"/>
  <c r="H185" i="1"/>
  <c r="I185" i="1"/>
  <c r="J185" i="1"/>
  <c r="K185" i="1"/>
  <c r="N185" i="1"/>
  <c r="B185" i="1" s="1"/>
  <c r="A186" i="1"/>
  <c r="C186" i="1"/>
  <c r="D186" i="1"/>
  <c r="E186" i="1"/>
  <c r="F186" i="1"/>
  <c r="G186" i="1"/>
  <c r="H186" i="1"/>
  <c r="I186" i="1"/>
  <c r="J186" i="1"/>
  <c r="K186" i="1"/>
  <c r="N186" i="1"/>
  <c r="B186" i="1" s="1"/>
  <c r="A187" i="1"/>
  <c r="C187" i="1"/>
  <c r="D187" i="1"/>
  <c r="E187" i="1"/>
  <c r="F187" i="1"/>
  <c r="G187" i="1"/>
  <c r="H187" i="1"/>
  <c r="I187" i="1"/>
  <c r="J187" i="1"/>
  <c r="K187" i="1"/>
  <c r="N187" i="1"/>
  <c r="B187" i="1" s="1"/>
  <c r="F174" i="1"/>
  <c r="A166" i="1"/>
  <c r="A165" i="1"/>
  <c r="C165" i="1"/>
  <c r="D165" i="1"/>
  <c r="E165" i="1"/>
  <c r="F165" i="1"/>
  <c r="G165" i="1"/>
  <c r="H165" i="1"/>
  <c r="I165" i="1"/>
  <c r="J165" i="1"/>
  <c r="K165" i="1"/>
  <c r="N165" i="1"/>
  <c r="B165" i="1" s="1"/>
  <c r="C166" i="1"/>
  <c r="D166" i="1"/>
  <c r="E166" i="1"/>
  <c r="F166" i="1"/>
  <c r="G166" i="1"/>
  <c r="H166" i="1"/>
  <c r="I166" i="1"/>
  <c r="J166" i="1"/>
  <c r="K166" i="1"/>
  <c r="N166" i="1"/>
  <c r="B166" i="1" s="1"/>
  <c r="A167" i="1"/>
  <c r="C167" i="1"/>
  <c r="D167" i="1"/>
  <c r="E167" i="1"/>
  <c r="F167" i="1"/>
  <c r="G167" i="1"/>
  <c r="H167" i="1"/>
  <c r="I167" i="1"/>
  <c r="J167" i="1"/>
  <c r="K167" i="1"/>
  <c r="N167" i="1"/>
  <c r="B167" i="1" s="1"/>
  <c r="A168" i="1"/>
  <c r="C168" i="1"/>
  <c r="D168" i="1"/>
  <c r="E168" i="1"/>
  <c r="F168" i="1"/>
  <c r="G168" i="1"/>
  <c r="H168" i="1"/>
  <c r="I168" i="1"/>
  <c r="J168" i="1"/>
  <c r="K168" i="1"/>
  <c r="N168" i="1"/>
  <c r="B168" i="1" s="1"/>
  <c r="A169" i="1"/>
  <c r="C169" i="1"/>
  <c r="D169" i="1"/>
  <c r="E169" i="1"/>
  <c r="F169" i="1"/>
  <c r="G169" i="1"/>
  <c r="H169" i="1"/>
  <c r="I169" i="1"/>
  <c r="J169" i="1"/>
  <c r="K169" i="1"/>
  <c r="N169" i="1"/>
  <c r="B169" i="1" s="1"/>
  <c r="A170" i="1"/>
  <c r="C170" i="1"/>
  <c r="D170" i="1"/>
  <c r="E170" i="1"/>
  <c r="F170" i="1"/>
  <c r="G170" i="1"/>
  <c r="H170" i="1"/>
  <c r="I170" i="1"/>
  <c r="J170" i="1"/>
  <c r="K170" i="1"/>
  <c r="N170" i="1"/>
  <c r="B170" i="1" s="1"/>
  <c r="A171" i="1"/>
  <c r="C171" i="1"/>
  <c r="D171" i="1"/>
  <c r="E171" i="1"/>
  <c r="F171" i="1"/>
  <c r="G171" i="1"/>
  <c r="H171" i="1"/>
  <c r="I171" i="1"/>
  <c r="J171" i="1"/>
  <c r="K171" i="1"/>
  <c r="N171" i="1"/>
  <c r="B171" i="1" s="1"/>
  <c r="A172" i="1"/>
  <c r="C172" i="1"/>
  <c r="D172" i="1"/>
  <c r="E172" i="1"/>
  <c r="F172" i="1"/>
  <c r="G172" i="1"/>
  <c r="H172" i="1"/>
  <c r="I172" i="1"/>
  <c r="J172" i="1"/>
  <c r="K172" i="1"/>
  <c r="N172" i="1"/>
  <c r="B172" i="1" s="1"/>
  <c r="A173" i="1"/>
  <c r="C173" i="1"/>
  <c r="D173" i="1"/>
  <c r="E173" i="1"/>
  <c r="F173" i="1"/>
  <c r="G173" i="1"/>
  <c r="H173" i="1"/>
  <c r="I173" i="1"/>
  <c r="J173" i="1"/>
  <c r="K173" i="1"/>
  <c r="N173" i="1"/>
  <c r="B173" i="1" s="1"/>
  <c r="A174" i="1"/>
  <c r="C174" i="1"/>
  <c r="D174" i="1"/>
  <c r="E174" i="1"/>
  <c r="G174" i="1"/>
  <c r="H174" i="1"/>
  <c r="I174" i="1"/>
  <c r="J174" i="1"/>
  <c r="K174" i="1"/>
  <c r="N174" i="1"/>
  <c r="B174" i="1" s="1"/>
  <c r="A175" i="1"/>
  <c r="C175" i="1"/>
  <c r="D175" i="1"/>
  <c r="E175" i="1"/>
  <c r="F175" i="1"/>
  <c r="G175" i="1"/>
  <c r="H175" i="1"/>
  <c r="I175" i="1"/>
  <c r="J175" i="1"/>
  <c r="K175" i="1"/>
  <c r="N175" i="1"/>
  <c r="B175" i="1" s="1"/>
  <c r="A176" i="1"/>
  <c r="C176" i="1"/>
  <c r="D176" i="1"/>
  <c r="E176" i="1"/>
  <c r="F176" i="1"/>
  <c r="G176" i="1"/>
  <c r="H176" i="1"/>
  <c r="I176" i="1"/>
  <c r="J176" i="1"/>
  <c r="K176" i="1"/>
  <c r="N176" i="1"/>
  <c r="B176" i="1" s="1"/>
  <c r="A177" i="1"/>
  <c r="C177" i="1"/>
  <c r="D177" i="1"/>
  <c r="E177" i="1"/>
  <c r="F177" i="1"/>
  <c r="G177" i="1"/>
  <c r="H177" i="1"/>
  <c r="I177" i="1"/>
  <c r="J177" i="1"/>
  <c r="K177" i="1"/>
  <c r="N177" i="1"/>
  <c r="B177" i="1" s="1"/>
  <c r="A178" i="1"/>
  <c r="C178" i="1"/>
  <c r="D178" i="1"/>
  <c r="E178" i="1"/>
  <c r="F178" i="1"/>
  <c r="G178" i="1"/>
  <c r="H178" i="1"/>
  <c r="I178" i="1"/>
  <c r="J178" i="1"/>
  <c r="K178" i="1"/>
  <c r="N178" i="1"/>
  <c r="B178" i="1" s="1"/>
  <c r="A3" i="1"/>
  <c r="C3" i="1"/>
  <c r="D3" i="1"/>
  <c r="E3" i="1"/>
  <c r="F3" i="1"/>
  <c r="G3" i="1"/>
  <c r="H3" i="1"/>
  <c r="I3" i="1"/>
  <c r="J3" i="1"/>
  <c r="K3" i="1"/>
  <c r="N3" i="1"/>
  <c r="B3" i="1" s="1"/>
  <c r="A4" i="1"/>
  <c r="C4" i="1"/>
  <c r="D4" i="1"/>
  <c r="E4" i="1"/>
  <c r="F4" i="1"/>
  <c r="G4" i="1"/>
  <c r="H4" i="1"/>
  <c r="I4" i="1"/>
  <c r="J4" i="1"/>
  <c r="K4" i="1"/>
  <c r="N4" i="1"/>
  <c r="B4" i="1" s="1"/>
  <c r="A5" i="1"/>
  <c r="C5" i="1"/>
  <c r="D5" i="1"/>
  <c r="E5" i="1"/>
  <c r="F5" i="1"/>
  <c r="G5" i="1"/>
  <c r="H5" i="1"/>
  <c r="I5" i="1"/>
  <c r="J5" i="1"/>
  <c r="K5" i="1"/>
  <c r="N5" i="1"/>
  <c r="B5" i="1" s="1"/>
  <c r="A6" i="1"/>
  <c r="C6" i="1"/>
  <c r="D6" i="1"/>
  <c r="E6" i="1"/>
  <c r="F6" i="1"/>
  <c r="G6" i="1"/>
  <c r="H6" i="1"/>
  <c r="I6" i="1"/>
  <c r="J6" i="1"/>
  <c r="K6" i="1"/>
  <c r="N6" i="1"/>
  <c r="B6" i="1" s="1"/>
  <c r="A7" i="1"/>
  <c r="C7" i="1"/>
  <c r="D7" i="1"/>
  <c r="E7" i="1"/>
  <c r="F7" i="1"/>
  <c r="G7" i="1"/>
  <c r="H7" i="1"/>
  <c r="I7" i="1"/>
  <c r="J7" i="1"/>
  <c r="K7" i="1"/>
  <c r="N7" i="1"/>
  <c r="B7" i="1" s="1"/>
  <c r="A8" i="1"/>
  <c r="C8" i="1"/>
  <c r="D8" i="1"/>
  <c r="E8" i="1"/>
  <c r="F8" i="1"/>
  <c r="G8" i="1"/>
  <c r="H8" i="1"/>
  <c r="I8" i="1"/>
  <c r="J8" i="1"/>
  <c r="K8" i="1"/>
  <c r="N8" i="1"/>
  <c r="B8" i="1" s="1"/>
  <c r="A9" i="1"/>
  <c r="C9" i="1"/>
  <c r="D9" i="1"/>
  <c r="E9" i="1"/>
  <c r="F9" i="1"/>
  <c r="G9" i="1"/>
  <c r="H9" i="1"/>
  <c r="I9" i="1"/>
  <c r="J9" i="1"/>
  <c r="K9" i="1"/>
  <c r="N9" i="1"/>
  <c r="B9" i="1" s="1"/>
  <c r="A10" i="1"/>
  <c r="C10" i="1"/>
  <c r="D10" i="1"/>
  <c r="E10" i="1"/>
  <c r="F10" i="1"/>
  <c r="G10" i="1"/>
  <c r="H10" i="1"/>
  <c r="I10" i="1"/>
  <c r="J10" i="1"/>
  <c r="K10" i="1"/>
  <c r="N10" i="1"/>
  <c r="B10" i="1" s="1"/>
  <c r="A11" i="1"/>
  <c r="C11" i="1"/>
  <c r="D11" i="1"/>
  <c r="E11" i="1"/>
  <c r="F11" i="1"/>
  <c r="G11" i="1"/>
  <c r="H11" i="1"/>
  <c r="I11" i="1"/>
  <c r="J11" i="1"/>
  <c r="K11" i="1"/>
  <c r="N11" i="1"/>
  <c r="B11" i="1" s="1"/>
  <c r="A12" i="1"/>
  <c r="C12" i="1"/>
  <c r="D12" i="1"/>
  <c r="E12" i="1"/>
  <c r="F12" i="1"/>
  <c r="G12" i="1"/>
  <c r="H12" i="1"/>
  <c r="I12" i="1"/>
  <c r="J12" i="1"/>
  <c r="K12" i="1"/>
  <c r="N12" i="1"/>
  <c r="B12" i="1" s="1"/>
  <c r="A13" i="1"/>
  <c r="C13" i="1"/>
  <c r="D13" i="1"/>
  <c r="E13" i="1"/>
  <c r="F13" i="1"/>
  <c r="G13" i="1"/>
  <c r="H13" i="1"/>
  <c r="I13" i="1"/>
  <c r="J13" i="1"/>
  <c r="K13" i="1"/>
  <c r="N13" i="1"/>
  <c r="B13" i="1" s="1"/>
  <c r="A14" i="1"/>
  <c r="C14" i="1"/>
  <c r="D14" i="1"/>
  <c r="E14" i="1"/>
  <c r="F14" i="1"/>
  <c r="G14" i="1"/>
  <c r="H14" i="1"/>
  <c r="I14" i="1"/>
  <c r="J14" i="1"/>
  <c r="K14" i="1"/>
  <c r="N14" i="1"/>
  <c r="B14" i="1" s="1"/>
  <c r="A15" i="1"/>
  <c r="C15" i="1"/>
  <c r="D15" i="1"/>
  <c r="E15" i="1"/>
  <c r="F15" i="1"/>
  <c r="G15" i="1"/>
  <c r="H15" i="1"/>
  <c r="I15" i="1"/>
  <c r="J15" i="1"/>
  <c r="K15" i="1"/>
  <c r="N15" i="1"/>
  <c r="B15" i="1" s="1"/>
  <c r="A16" i="1"/>
  <c r="C16" i="1"/>
  <c r="D16" i="1"/>
  <c r="E16" i="1"/>
  <c r="F16" i="1"/>
  <c r="G16" i="1"/>
  <c r="H16" i="1"/>
  <c r="I16" i="1"/>
  <c r="J16" i="1"/>
  <c r="K16" i="1"/>
  <c r="N16" i="1"/>
  <c r="B16" i="1" s="1"/>
  <c r="A17" i="1"/>
  <c r="C17" i="1"/>
  <c r="D17" i="1"/>
  <c r="E17" i="1"/>
  <c r="F17" i="1"/>
  <c r="G17" i="1"/>
  <c r="H17" i="1"/>
  <c r="I17" i="1"/>
  <c r="J17" i="1"/>
  <c r="K17" i="1"/>
  <c r="N17" i="1"/>
  <c r="B17" i="1" s="1"/>
  <c r="A18" i="1"/>
  <c r="C18" i="1"/>
  <c r="D18" i="1"/>
  <c r="E18" i="1"/>
  <c r="F18" i="1"/>
  <c r="G18" i="1"/>
  <c r="H18" i="1"/>
  <c r="I18" i="1"/>
  <c r="J18" i="1"/>
  <c r="K18" i="1"/>
  <c r="N18" i="1"/>
  <c r="B18" i="1" s="1"/>
  <c r="A19" i="1"/>
  <c r="C19" i="1"/>
  <c r="D19" i="1"/>
  <c r="E19" i="1"/>
  <c r="F19" i="1"/>
  <c r="G19" i="1"/>
  <c r="H19" i="1"/>
  <c r="I19" i="1"/>
  <c r="J19" i="1"/>
  <c r="K19" i="1"/>
  <c r="N19" i="1"/>
  <c r="B19" i="1" s="1"/>
  <c r="A20" i="1"/>
  <c r="C20" i="1"/>
  <c r="D20" i="1"/>
  <c r="E20" i="1"/>
  <c r="F20" i="1"/>
  <c r="G20" i="1"/>
  <c r="H20" i="1"/>
  <c r="I20" i="1"/>
  <c r="J20" i="1"/>
  <c r="K20" i="1"/>
  <c r="N20" i="1"/>
  <c r="B20" i="1" s="1"/>
  <c r="A21" i="1"/>
  <c r="C21" i="1"/>
  <c r="D21" i="1"/>
  <c r="E21" i="1"/>
  <c r="F21" i="1"/>
  <c r="G21" i="1"/>
  <c r="H21" i="1"/>
  <c r="I21" i="1"/>
  <c r="J21" i="1"/>
  <c r="K21" i="1"/>
  <c r="N21" i="1"/>
  <c r="B21" i="1" s="1"/>
  <c r="A22" i="1"/>
  <c r="C22" i="1"/>
  <c r="D22" i="1"/>
  <c r="E22" i="1"/>
  <c r="F22" i="1"/>
  <c r="G22" i="1"/>
  <c r="H22" i="1"/>
  <c r="I22" i="1"/>
  <c r="J22" i="1"/>
  <c r="K22" i="1"/>
  <c r="N22" i="1"/>
  <c r="B22" i="1" s="1"/>
  <c r="A23" i="1"/>
  <c r="C23" i="1"/>
  <c r="D23" i="1"/>
  <c r="E23" i="1"/>
  <c r="F23" i="1"/>
  <c r="G23" i="1"/>
  <c r="H23" i="1"/>
  <c r="I23" i="1"/>
  <c r="J23" i="1"/>
  <c r="K23" i="1"/>
  <c r="N23" i="1"/>
  <c r="B23" i="1" s="1"/>
  <c r="A24" i="1"/>
  <c r="C24" i="1"/>
  <c r="D24" i="1"/>
  <c r="E24" i="1"/>
  <c r="F24" i="1"/>
  <c r="G24" i="1"/>
  <c r="H24" i="1"/>
  <c r="I24" i="1"/>
  <c r="J24" i="1"/>
  <c r="K24" i="1"/>
  <c r="N24" i="1"/>
  <c r="B24" i="1" s="1"/>
  <c r="A25" i="1"/>
  <c r="C25" i="1"/>
  <c r="D25" i="1"/>
  <c r="E25" i="1"/>
  <c r="F25" i="1"/>
  <c r="G25" i="1"/>
  <c r="H25" i="1"/>
  <c r="I25" i="1"/>
  <c r="J25" i="1"/>
  <c r="K25" i="1"/>
  <c r="N25" i="1"/>
  <c r="B25" i="1" s="1"/>
  <c r="A26" i="1"/>
  <c r="C26" i="1"/>
  <c r="D26" i="1"/>
  <c r="E26" i="1"/>
  <c r="F26" i="1"/>
  <c r="G26" i="1"/>
  <c r="H26" i="1"/>
  <c r="I26" i="1"/>
  <c r="J26" i="1"/>
  <c r="K26" i="1"/>
  <c r="N26" i="1"/>
  <c r="B26" i="1" s="1"/>
  <c r="A27" i="1"/>
  <c r="C27" i="1"/>
  <c r="D27" i="1"/>
  <c r="E27" i="1"/>
  <c r="F27" i="1"/>
  <c r="G27" i="1"/>
  <c r="H27" i="1"/>
  <c r="I27" i="1"/>
  <c r="J27" i="1"/>
  <c r="K27" i="1"/>
  <c r="N27" i="1"/>
  <c r="B27" i="1" s="1"/>
  <c r="A28" i="1"/>
  <c r="C28" i="1"/>
  <c r="D28" i="1"/>
  <c r="E28" i="1"/>
  <c r="F28" i="1"/>
  <c r="G28" i="1"/>
  <c r="H28" i="1"/>
  <c r="I28" i="1"/>
  <c r="J28" i="1"/>
  <c r="K28" i="1"/>
  <c r="N28" i="1"/>
  <c r="B28" i="1" s="1"/>
  <c r="A29" i="1"/>
  <c r="C29" i="1"/>
  <c r="D29" i="1"/>
  <c r="E29" i="1"/>
  <c r="F29" i="1"/>
  <c r="G29" i="1"/>
  <c r="H29" i="1"/>
  <c r="I29" i="1"/>
  <c r="J29" i="1"/>
  <c r="K29" i="1"/>
  <c r="N29" i="1"/>
  <c r="B29" i="1" s="1"/>
  <c r="A30" i="1"/>
  <c r="C30" i="1"/>
  <c r="D30" i="1"/>
  <c r="E30" i="1"/>
  <c r="F30" i="1"/>
  <c r="G30" i="1"/>
  <c r="H30" i="1"/>
  <c r="I30" i="1"/>
  <c r="J30" i="1"/>
  <c r="K30" i="1"/>
  <c r="N30" i="1"/>
  <c r="B30" i="1" s="1"/>
  <c r="A31" i="1"/>
  <c r="C31" i="1"/>
  <c r="D31" i="1"/>
  <c r="E31" i="1"/>
  <c r="F31" i="1"/>
  <c r="G31" i="1"/>
  <c r="H31" i="1"/>
  <c r="I31" i="1"/>
  <c r="J31" i="1"/>
  <c r="K31" i="1"/>
  <c r="N31" i="1"/>
  <c r="B31" i="1" s="1"/>
  <c r="A32" i="1"/>
  <c r="C32" i="1"/>
  <c r="D32" i="1"/>
  <c r="E32" i="1"/>
  <c r="F32" i="1"/>
  <c r="G32" i="1"/>
  <c r="H32" i="1"/>
  <c r="I32" i="1"/>
  <c r="J32" i="1"/>
  <c r="K32" i="1"/>
  <c r="N32" i="1"/>
  <c r="B32" i="1" s="1"/>
  <c r="A33" i="1"/>
  <c r="C33" i="1"/>
  <c r="D33" i="1"/>
  <c r="E33" i="1"/>
  <c r="F33" i="1"/>
  <c r="G33" i="1"/>
  <c r="H33" i="1"/>
  <c r="I33" i="1"/>
  <c r="J33" i="1"/>
  <c r="K33" i="1"/>
  <c r="N33" i="1"/>
  <c r="B33" i="1" s="1"/>
  <c r="A34" i="1"/>
  <c r="C34" i="1"/>
  <c r="D34" i="1"/>
  <c r="E34" i="1"/>
  <c r="F34" i="1"/>
  <c r="G34" i="1"/>
  <c r="H34" i="1"/>
  <c r="I34" i="1"/>
  <c r="J34" i="1"/>
  <c r="K34" i="1"/>
  <c r="N34" i="1"/>
  <c r="B34" i="1" s="1"/>
  <c r="A35" i="1"/>
  <c r="C35" i="1"/>
  <c r="D35" i="1"/>
  <c r="E35" i="1"/>
  <c r="F35" i="1"/>
  <c r="G35" i="1"/>
  <c r="H35" i="1"/>
  <c r="I35" i="1"/>
  <c r="J35" i="1"/>
  <c r="K35" i="1"/>
  <c r="N35" i="1"/>
  <c r="B35" i="1" s="1"/>
  <c r="A36" i="1"/>
  <c r="C36" i="1"/>
  <c r="D36" i="1"/>
  <c r="E36" i="1"/>
  <c r="F36" i="1"/>
  <c r="G36" i="1"/>
  <c r="H36" i="1"/>
  <c r="I36" i="1"/>
  <c r="J36" i="1"/>
  <c r="K36" i="1"/>
  <c r="N36" i="1"/>
  <c r="B36" i="1" s="1"/>
  <c r="A37" i="1"/>
  <c r="C37" i="1"/>
  <c r="D37" i="1"/>
  <c r="E37" i="1"/>
  <c r="F37" i="1"/>
  <c r="G37" i="1"/>
  <c r="H37" i="1"/>
  <c r="I37" i="1"/>
  <c r="J37" i="1"/>
  <c r="K37" i="1"/>
  <c r="N37" i="1"/>
  <c r="B37" i="1" s="1"/>
  <c r="A38" i="1"/>
  <c r="C38" i="1"/>
  <c r="D38" i="1"/>
  <c r="E38" i="1"/>
  <c r="F38" i="1"/>
  <c r="G38" i="1"/>
  <c r="H38" i="1"/>
  <c r="I38" i="1"/>
  <c r="J38" i="1"/>
  <c r="K38" i="1"/>
  <c r="N38" i="1"/>
  <c r="B38" i="1" s="1"/>
  <c r="A39" i="1"/>
  <c r="C39" i="1"/>
  <c r="D39" i="1"/>
  <c r="E39" i="1"/>
  <c r="F39" i="1"/>
  <c r="G39" i="1"/>
  <c r="H39" i="1"/>
  <c r="I39" i="1"/>
  <c r="J39" i="1"/>
  <c r="K39" i="1"/>
  <c r="N39" i="1"/>
  <c r="B39" i="1" s="1"/>
  <c r="A40" i="1"/>
  <c r="C40" i="1"/>
  <c r="D40" i="1"/>
  <c r="E40" i="1"/>
  <c r="F40" i="1"/>
  <c r="G40" i="1"/>
  <c r="H40" i="1"/>
  <c r="I40" i="1"/>
  <c r="J40" i="1"/>
  <c r="K40" i="1"/>
  <c r="N40" i="1"/>
  <c r="B40" i="1" s="1"/>
  <c r="A41" i="1"/>
  <c r="C41" i="1"/>
  <c r="D41" i="1"/>
  <c r="E41" i="1"/>
  <c r="F41" i="1"/>
  <c r="G41" i="1"/>
  <c r="H41" i="1"/>
  <c r="I41" i="1"/>
  <c r="J41" i="1"/>
  <c r="K41" i="1"/>
  <c r="N41" i="1"/>
  <c r="B41" i="1" s="1"/>
  <c r="A42" i="1"/>
  <c r="C42" i="1"/>
  <c r="D42" i="1"/>
  <c r="E42" i="1"/>
  <c r="F42" i="1"/>
  <c r="G42" i="1"/>
  <c r="H42" i="1"/>
  <c r="I42" i="1"/>
  <c r="J42" i="1"/>
  <c r="K42" i="1"/>
  <c r="N42" i="1"/>
  <c r="B42" i="1" s="1"/>
  <c r="A43" i="1"/>
  <c r="C43" i="1"/>
  <c r="D43" i="1"/>
  <c r="E43" i="1"/>
  <c r="F43" i="1"/>
  <c r="G43" i="1"/>
  <c r="H43" i="1"/>
  <c r="I43" i="1"/>
  <c r="J43" i="1"/>
  <c r="K43" i="1"/>
  <c r="N43" i="1"/>
  <c r="B43" i="1" s="1"/>
  <c r="A44" i="1"/>
  <c r="C44" i="1"/>
  <c r="D44" i="1"/>
  <c r="E44" i="1"/>
  <c r="F44" i="1"/>
  <c r="G44" i="1"/>
  <c r="H44" i="1"/>
  <c r="I44" i="1"/>
  <c r="J44" i="1"/>
  <c r="K44" i="1"/>
  <c r="N44" i="1"/>
  <c r="B44" i="1" s="1"/>
  <c r="A45" i="1"/>
  <c r="C45" i="1"/>
  <c r="D45" i="1"/>
  <c r="E45" i="1"/>
  <c r="F45" i="1"/>
  <c r="G45" i="1"/>
  <c r="H45" i="1"/>
  <c r="I45" i="1"/>
  <c r="J45" i="1"/>
  <c r="K45" i="1"/>
  <c r="N45" i="1"/>
  <c r="B45" i="1" s="1"/>
  <c r="A46" i="1"/>
  <c r="C46" i="1"/>
  <c r="D46" i="1"/>
  <c r="E46" i="1"/>
  <c r="F46" i="1"/>
  <c r="G46" i="1"/>
  <c r="H46" i="1"/>
  <c r="I46" i="1"/>
  <c r="J46" i="1"/>
  <c r="K46" i="1"/>
  <c r="N46" i="1"/>
  <c r="B46" i="1" s="1"/>
  <c r="A47" i="1"/>
  <c r="C47" i="1"/>
  <c r="D47" i="1"/>
  <c r="E47" i="1"/>
  <c r="F47" i="1"/>
  <c r="G47" i="1"/>
  <c r="H47" i="1"/>
  <c r="I47" i="1"/>
  <c r="J47" i="1"/>
  <c r="K47" i="1"/>
  <c r="N47" i="1"/>
  <c r="B47" i="1" s="1"/>
  <c r="A48" i="1"/>
  <c r="C48" i="1"/>
  <c r="D48" i="1"/>
  <c r="E48" i="1"/>
  <c r="F48" i="1"/>
  <c r="G48" i="1"/>
  <c r="H48" i="1"/>
  <c r="I48" i="1"/>
  <c r="J48" i="1"/>
  <c r="K48" i="1"/>
  <c r="N48" i="1"/>
  <c r="B48" i="1" s="1"/>
  <c r="A49" i="1"/>
  <c r="C49" i="1"/>
  <c r="D49" i="1"/>
  <c r="E49" i="1"/>
  <c r="F49" i="1"/>
  <c r="G49" i="1"/>
  <c r="H49" i="1"/>
  <c r="I49" i="1"/>
  <c r="J49" i="1"/>
  <c r="K49" i="1"/>
  <c r="N49" i="1"/>
  <c r="B49" i="1" s="1"/>
  <c r="A50" i="1"/>
  <c r="C50" i="1"/>
  <c r="D50" i="1"/>
  <c r="E50" i="1"/>
  <c r="F50" i="1"/>
  <c r="G50" i="1"/>
  <c r="H50" i="1"/>
  <c r="I50" i="1"/>
  <c r="J50" i="1"/>
  <c r="K50" i="1"/>
  <c r="N50" i="1"/>
  <c r="B50" i="1" s="1"/>
  <c r="A51" i="1"/>
  <c r="C51" i="1"/>
  <c r="D51" i="1"/>
  <c r="E51" i="1"/>
  <c r="F51" i="1"/>
  <c r="G51" i="1"/>
  <c r="H51" i="1"/>
  <c r="I51" i="1"/>
  <c r="J51" i="1"/>
  <c r="K51" i="1"/>
  <c r="N51" i="1"/>
  <c r="B51" i="1" s="1"/>
  <c r="A52" i="1"/>
  <c r="C52" i="1"/>
  <c r="D52" i="1"/>
  <c r="E52" i="1"/>
  <c r="F52" i="1"/>
  <c r="G52" i="1"/>
  <c r="H52" i="1"/>
  <c r="I52" i="1"/>
  <c r="J52" i="1"/>
  <c r="K52" i="1"/>
  <c r="N52" i="1"/>
  <c r="B52" i="1" s="1"/>
  <c r="A53" i="1"/>
  <c r="C53" i="1"/>
  <c r="D53" i="1"/>
  <c r="E53" i="1"/>
  <c r="F53" i="1"/>
  <c r="G53" i="1"/>
  <c r="H53" i="1"/>
  <c r="I53" i="1"/>
  <c r="J53" i="1"/>
  <c r="K53" i="1"/>
  <c r="N53" i="1"/>
  <c r="B53" i="1" s="1"/>
  <c r="A54" i="1"/>
  <c r="C54" i="1"/>
  <c r="D54" i="1"/>
  <c r="E54" i="1"/>
  <c r="F54" i="1"/>
  <c r="G54" i="1"/>
  <c r="H54" i="1"/>
  <c r="I54" i="1"/>
  <c r="J54" i="1"/>
  <c r="K54" i="1"/>
  <c r="N54" i="1"/>
  <c r="B54" i="1" s="1"/>
  <c r="A55" i="1"/>
  <c r="C55" i="1"/>
  <c r="D55" i="1"/>
  <c r="E55" i="1"/>
  <c r="F55" i="1"/>
  <c r="G55" i="1"/>
  <c r="H55" i="1"/>
  <c r="I55" i="1"/>
  <c r="J55" i="1"/>
  <c r="K55" i="1"/>
  <c r="N55" i="1"/>
  <c r="B55" i="1" s="1"/>
  <c r="A56" i="1"/>
  <c r="C56" i="1"/>
  <c r="D56" i="1"/>
  <c r="E56" i="1"/>
  <c r="F56" i="1"/>
  <c r="G56" i="1"/>
  <c r="H56" i="1"/>
  <c r="I56" i="1"/>
  <c r="J56" i="1"/>
  <c r="K56" i="1"/>
  <c r="N56" i="1"/>
  <c r="B56" i="1" s="1"/>
  <c r="A57" i="1"/>
  <c r="C57" i="1"/>
  <c r="D57" i="1"/>
  <c r="E57" i="1"/>
  <c r="F57" i="1"/>
  <c r="G57" i="1"/>
  <c r="H57" i="1"/>
  <c r="I57" i="1"/>
  <c r="J57" i="1"/>
  <c r="K57" i="1"/>
  <c r="N57" i="1"/>
  <c r="B57" i="1" s="1"/>
  <c r="A58" i="1"/>
  <c r="C58" i="1"/>
  <c r="D58" i="1"/>
  <c r="E58" i="1"/>
  <c r="F58" i="1"/>
  <c r="G58" i="1"/>
  <c r="H58" i="1"/>
  <c r="I58" i="1"/>
  <c r="J58" i="1"/>
  <c r="K58" i="1"/>
  <c r="N58" i="1"/>
  <c r="B58" i="1" s="1"/>
  <c r="A59" i="1"/>
  <c r="C59" i="1"/>
  <c r="D59" i="1"/>
  <c r="E59" i="1"/>
  <c r="F59" i="1"/>
  <c r="G59" i="1"/>
  <c r="H59" i="1"/>
  <c r="I59" i="1"/>
  <c r="J59" i="1"/>
  <c r="K59" i="1"/>
  <c r="N59" i="1"/>
  <c r="B59" i="1" s="1"/>
  <c r="A60" i="1"/>
  <c r="C60" i="1"/>
  <c r="D60" i="1"/>
  <c r="E60" i="1"/>
  <c r="F60" i="1"/>
  <c r="G60" i="1"/>
  <c r="H60" i="1"/>
  <c r="I60" i="1"/>
  <c r="J60" i="1"/>
  <c r="K60" i="1"/>
  <c r="N60" i="1"/>
  <c r="B60" i="1" s="1"/>
  <c r="A61" i="1"/>
  <c r="C61" i="1"/>
  <c r="D61" i="1"/>
  <c r="E61" i="1"/>
  <c r="F61" i="1"/>
  <c r="G61" i="1"/>
  <c r="H61" i="1"/>
  <c r="I61" i="1"/>
  <c r="J61" i="1"/>
  <c r="K61" i="1"/>
  <c r="N61" i="1"/>
  <c r="B61" i="1" s="1"/>
  <c r="A62" i="1"/>
  <c r="C62" i="1"/>
  <c r="D62" i="1"/>
  <c r="E62" i="1"/>
  <c r="F62" i="1"/>
  <c r="G62" i="1"/>
  <c r="H62" i="1"/>
  <c r="I62" i="1"/>
  <c r="J62" i="1"/>
  <c r="K62" i="1"/>
  <c r="N62" i="1"/>
  <c r="B62" i="1" s="1"/>
  <c r="A63" i="1"/>
  <c r="C63" i="1"/>
  <c r="D63" i="1"/>
  <c r="E63" i="1"/>
  <c r="F63" i="1"/>
  <c r="G63" i="1"/>
  <c r="H63" i="1"/>
  <c r="I63" i="1"/>
  <c r="J63" i="1"/>
  <c r="K63" i="1"/>
  <c r="N63" i="1"/>
  <c r="B63" i="1" s="1"/>
  <c r="A64" i="1"/>
  <c r="C64" i="1"/>
  <c r="D64" i="1"/>
  <c r="E64" i="1"/>
  <c r="F64" i="1"/>
  <c r="G64" i="1"/>
  <c r="H64" i="1"/>
  <c r="I64" i="1"/>
  <c r="J64" i="1"/>
  <c r="K64" i="1"/>
  <c r="N64" i="1"/>
  <c r="B64" i="1" s="1"/>
  <c r="A65" i="1"/>
  <c r="C65" i="1"/>
  <c r="D65" i="1"/>
  <c r="E65" i="1"/>
  <c r="F65" i="1"/>
  <c r="G65" i="1"/>
  <c r="H65" i="1"/>
  <c r="I65" i="1"/>
  <c r="J65" i="1"/>
  <c r="K65" i="1"/>
  <c r="N65" i="1"/>
  <c r="B65" i="1" s="1"/>
  <c r="A66" i="1"/>
  <c r="C66" i="1"/>
  <c r="D66" i="1"/>
  <c r="E66" i="1"/>
  <c r="F66" i="1"/>
  <c r="G66" i="1"/>
  <c r="H66" i="1"/>
  <c r="I66" i="1"/>
  <c r="J66" i="1"/>
  <c r="K66" i="1"/>
  <c r="N66" i="1"/>
  <c r="B66" i="1" s="1"/>
  <c r="A67" i="1"/>
  <c r="C67" i="1"/>
  <c r="D67" i="1"/>
  <c r="E67" i="1"/>
  <c r="F67" i="1"/>
  <c r="G67" i="1"/>
  <c r="H67" i="1"/>
  <c r="I67" i="1"/>
  <c r="J67" i="1"/>
  <c r="K67" i="1"/>
  <c r="N67" i="1"/>
  <c r="B67" i="1" s="1"/>
  <c r="A68" i="1"/>
  <c r="C68" i="1"/>
  <c r="D68" i="1"/>
  <c r="E68" i="1"/>
  <c r="F68" i="1"/>
  <c r="G68" i="1"/>
  <c r="H68" i="1"/>
  <c r="I68" i="1"/>
  <c r="J68" i="1"/>
  <c r="K68" i="1"/>
  <c r="N68" i="1"/>
  <c r="B68" i="1" s="1"/>
  <c r="A69" i="1"/>
  <c r="C69" i="1"/>
  <c r="D69" i="1"/>
  <c r="E69" i="1"/>
  <c r="F69" i="1"/>
  <c r="G69" i="1"/>
  <c r="H69" i="1"/>
  <c r="I69" i="1"/>
  <c r="J69" i="1"/>
  <c r="K69" i="1"/>
  <c r="N69" i="1"/>
  <c r="B69" i="1" s="1"/>
  <c r="A70" i="1"/>
  <c r="C70" i="1"/>
  <c r="D70" i="1"/>
  <c r="E70" i="1"/>
  <c r="F70" i="1"/>
  <c r="G70" i="1"/>
  <c r="H70" i="1"/>
  <c r="I70" i="1"/>
  <c r="J70" i="1"/>
  <c r="K70" i="1"/>
  <c r="N70" i="1"/>
  <c r="B70" i="1" s="1"/>
  <c r="A71" i="1"/>
  <c r="C71" i="1"/>
  <c r="D71" i="1"/>
  <c r="E71" i="1"/>
  <c r="F71" i="1"/>
  <c r="G71" i="1"/>
  <c r="H71" i="1"/>
  <c r="I71" i="1"/>
  <c r="J71" i="1"/>
  <c r="K71" i="1"/>
  <c r="N71" i="1"/>
  <c r="B71" i="1" s="1"/>
  <c r="A72" i="1"/>
  <c r="C72" i="1"/>
  <c r="D72" i="1"/>
  <c r="E72" i="1"/>
  <c r="F72" i="1"/>
  <c r="G72" i="1"/>
  <c r="H72" i="1"/>
  <c r="I72" i="1"/>
  <c r="J72" i="1"/>
  <c r="K72" i="1"/>
  <c r="N72" i="1"/>
  <c r="B72" i="1" s="1"/>
  <c r="A73" i="1"/>
  <c r="C73" i="1"/>
  <c r="D73" i="1"/>
  <c r="E73" i="1"/>
  <c r="F73" i="1"/>
  <c r="G73" i="1"/>
  <c r="H73" i="1"/>
  <c r="I73" i="1"/>
  <c r="J73" i="1"/>
  <c r="K73" i="1"/>
  <c r="N73" i="1"/>
  <c r="B73" i="1" s="1"/>
  <c r="A74" i="1"/>
  <c r="C74" i="1"/>
  <c r="D74" i="1"/>
  <c r="E74" i="1"/>
  <c r="F74" i="1"/>
  <c r="G74" i="1"/>
  <c r="H74" i="1"/>
  <c r="I74" i="1"/>
  <c r="J74" i="1"/>
  <c r="K74" i="1"/>
  <c r="N74" i="1"/>
  <c r="B74" i="1" s="1"/>
  <c r="A75" i="1"/>
  <c r="C75" i="1"/>
  <c r="D75" i="1"/>
  <c r="E75" i="1"/>
  <c r="F75" i="1"/>
  <c r="G75" i="1"/>
  <c r="H75" i="1"/>
  <c r="I75" i="1"/>
  <c r="J75" i="1"/>
  <c r="K75" i="1"/>
  <c r="N75" i="1"/>
  <c r="B75" i="1" s="1"/>
  <c r="A76" i="1"/>
  <c r="C76" i="1"/>
  <c r="D76" i="1"/>
  <c r="E76" i="1"/>
  <c r="F76" i="1"/>
  <c r="G76" i="1"/>
  <c r="H76" i="1"/>
  <c r="I76" i="1"/>
  <c r="J76" i="1"/>
  <c r="K76" i="1"/>
  <c r="N76" i="1"/>
  <c r="B76" i="1" s="1"/>
  <c r="A77" i="1"/>
  <c r="C77" i="1"/>
  <c r="D77" i="1"/>
  <c r="E77" i="1"/>
  <c r="F77" i="1"/>
  <c r="G77" i="1"/>
  <c r="H77" i="1"/>
  <c r="I77" i="1"/>
  <c r="J77" i="1"/>
  <c r="K77" i="1"/>
  <c r="N77" i="1"/>
  <c r="B77" i="1" s="1"/>
  <c r="A78" i="1"/>
  <c r="C78" i="1"/>
  <c r="D78" i="1"/>
  <c r="E78" i="1"/>
  <c r="F78" i="1"/>
  <c r="G78" i="1"/>
  <c r="H78" i="1"/>
  <c r="I78" i="1"/>
  <c r="J78" i="1"/>
  <c r="K78" i="1"/>
  <c r="N78" i="1"/>
  <c r="B78" i="1" s="1"/>
  <c r="A79" i="1"/>
  <c r="C79" i="1"/>
  <c r="D79" i="1"/>
  <c r="E79" i="1"/>
  <c r="F79" i="1"/>
  <c r="G79" i="1"/>
  <c r="H79" i="1"/>
  <c r="I79" i="1"/>
  <c r="J79" i="1"/>
  <c r="K79" i="1"/>
  <c r="N79" i="1"/>
  <c r="B79" i="1" s="1"/>
  <c r="A80" i="1"/>
  <c r="C80" i="1"/>
  <c r="D80" i="1"/>
  <c r="E80" i="1"/>
  <c r="F80" i="1"/>
  <c r="G80" i="1"/>
  <c r="H80" i="1"/>
  <c r="I80" i="1"/>
  <c r="J80" i="1"/>
  <c r="K80" i="1"/>
  <c r="N80" i="1"/>
  <c r="B80" i="1" s="1"/>
  <c r="A81" i="1"/>
  <c r="C81" i="1"/>
  <c r="D81" i="1"/>
  <c r="E81" i="1"/>
  <c r="F81" i="1"/>
  <c r="G81" i="1"/>
  <c r="H81" i="1"/>
  <c r="I81" i="1"/>
  <c r="J81" i="1"/>
  <c r="K81" i="1"/>
  <c r="N81" i="1"/>
  <c r="B81" i="1" s="1"/>
  <c r="A82" i="1"/>
  <c r="C82" i="1"/>
  <c r="D82" i="1"/>
  <c r="E82" i="1"/>
  <c r="F82" i="1"/>
  <c r="G82" i="1"/>
  <c r="H82" i="1"/>
  <c r="I82" i="1"/>
  <c r="J82" i="1"/>
  <c r="K82" i="1"/>
  <c r="N82" i="1"/>
  <c r="B82" i="1" s="1"/>
  <c r="A83" i="1"/>
  <c r="C83" i="1"/>
  <c r="D83" i="1"/>
  <c r="E83" i="1"/>
  <c r="F83" i="1"/>
  <c r="G83" i="1"/>
  <c r="H83" i="1"/>
  <c r="I83" i="1"/>
  <c r="J83" i="1"/>
  <c r="K83" i="1"/>
  <c r="N83" i="1"/>
  <c r="B83" i="1" s="1"/>
  <c r="A84" i="1"/>
  <c r="C84" i="1"/>
  <c r="D84" i="1"/>
  <c r="E84" i="1"/>
  <c r="F84" i="1"/>
  <c r="G84" i="1"/>
  <c r="H84" i="1"/>
  <c r="I84" i="1"/>
  <c r="J84" i="1"/>
  <c r="K84" i="1"/>
  <c r="N84" i="1"/>
  <c r="B84" i="1" s="1"/>
  <c r="A85" i="1"/>
  <c r="C85" i="1"/>
  <c r="D85" i="1"/>
  <c r="E85" i="1"/>
  <c r="F85" i="1"/>
  <c r="G85" i="1"/>
  <c r="H85" i="1"/>
  <c r="I85" i="1"/>
  <c r="J85" i="1"/>
  <c r="K85" i="1"/>
  <c r="N85" i="1"/>
  <c r="B85" i="1" s="1"/>
  <c r="A86" i="1"/>
  <c r="C86" i="1"/>
  <c r="D86" i="1"/>
  <c r="E86" i="1"/>
  <c r="F86" i="1"/>
  <c r="G86" i="1"/>
  <c r="H86" i="1"/>
  <c r="I86" i="1"/>
  <c r="J86" i="1"/>
  <c r="K86" i="1"/>
  <c r="N86" i="1"/>
  <c r="B86" i="1" s="1"/>
  <c r="A87" i="1"/>
  <c r="C87" i="1"/>
  <c r="D87" i="1"/>
  <c r="E87" i="1"/>
  <c r="F87" i="1"/>
  <c r="G87" i="1"/>
  <c r="H87" i="1"/>
  <c r="I87" i="1"/>
  <c r="J87" i="1"/>
  <c r="K87" i="1"/>
  <c r="N87" i="1"/>
  <c r="B87" i="1" s="1"/>
  <c r="A88" i="1"/>
  <c r="C88" i="1"/>
  <c r="D88" i="1"/>
  <c r="E88" i="1"/>
  <c r="F88" i="1"/>
  <c r="G88" i="1"/>
  <c r="H88" i="1"/>
  <c r="I88" i="1"/>
  <c r="J88" i="1"/>
  <c r="K88" i="1"/>
  <c r="N88" i="1"/>
  <c r="B88" i="1" s="1"/>
  <c r="A89" i="1"/>
  <c r="C89" i="1"/>
  <c r="D89" i="1"/>
  <c r="E89" i="1"/>
  <c r="F89" i="1"/>
  <c r="G89" i="1"/>
  <c r="H89" i="1"/>
  <c r="I89" i="1"/>
  <c r="J89" i="1"/>
  <c r="K89" i="1"/>
  <c r="N89" i="1"/>
  <c r="B89" i="1" s="1"/>
  <c r="A90" i="1"/>
  <c r="C90" i="1"/>
  <c r="D90" i="1"/>
  <c r="E90" i="1"/>
  <c r="F90" i="1"/>
  <c r="G90" i="1"/>
  <c r="H90" i="1"/>
  <c r="I90" i="1"/>
  <c r="J90" i="1"/>
  <c r="K90" i="1"/>
  <c r="N90" i="1"/>
  <c r="B90" i="1" s="1"/>
  <c r="A91" i="1"/>
  <c r="C91" i="1"/>
  <c r="D91" i="1"/>
  <c r="E91" i="1"/>
  <c r="F91" i="1"/>
  <c r="G91" i="1"/>
  <c r="H91" i="1"/>
  <c r="I91" i="1"/>
  <c r="J91" i="1"/>
  <c r="K91" i="1"/>
  <c r="N91" i="1"/>
  <c r="B91" i="1" s="1"/>
  <c r="A92" i="1"/>
  <c r="C92" i="1"/>
  <c r="D92" i="1"/>
  <c r="E92" i="1"/>
  <c r="F92" i="1"/>
  <c r="G92" i="1"/>
  <c r="H92" i="1"/>
  <c r="I92" i="1"/>
  <c r="J92" i="1"/>
  <c r="K92" i="1"/>
  <c r="N92" i="1"/>
  <c r="B92" i="1" s="1"/>
  <c r="A93" i="1"/>
  <c r="C93" i="1"/>
  <c r="D93" i="1"/>
  <c r="E93" i="1"/>
  <c r="F93" i="1"/>
  <c r="G93" i="1"/>
  <c r="H93" i="1"/>
  <c r="I93" i="1"/>
  <c r="J93" i="1"/>
  <c r="K93" i="1"/>
  <c r="N93" i="1"/>
  <c r="B93" i="1" s="1"/>
  <c r="A94" i="1"/>
  <c r="C94" i="1"/>
  <c r="D94" i="1"/>
  <c r="E94" i="1"/>
  <c r="F94" i="1"/>
  <c r="G94" i="1"/>
  <c r="H94" i="1"/>
  <c r="I94" i="1"/>
  <c r="J94" i="1"/>
  <c r="K94" i="1"/>
  <c r="N94" i="1"/>
  <c r="B94" i="1" s="1"/>
  <c r="A95" i="1"/>
  <c r="C95" i="1"/>
  <c r="D95" i="1"/>
  <c r="E95" i="1"/>
  <c r="F95" i="1"/>
  <c r="G95" i="1"/>
  <c r="H95" i="1"/>
  <c r="I95" i="1"/>
  <c r="J95" i="1"/>
  <c r="K95" i="1"/>
  <c r="N95" i="1"/>
  <c r="B95" i="1" s="1"/>
  <c r="A96" i="1"/>
  <c r="C96" i="1"/>
  <c r="D96" i="1"/>
  <c r="E96" i="1"/>
  <c r="F96" i="1"/>
  <c r="G96" i="1"/>
  <c r="H96" i="1"/>
  <c r="I96" i="1"/>
  <c r="J96" i="1"/>
  <c r="K96" i="1"/>
  <c r="N96" i="1"/>
  <c r="B96" i="1" s="1"/>
  <c r="A97" i="1"/>
  <c r="C97" i="1"/>
  <c r="D97" i="1"/>
  <c r="E97" i="1"/>
  <c r="F97" i="1"/>
  <c r="G97" i="1"/>
  <c r="H97" i="1"/>
  <c r="I97" i="1"/>
  <c r="J97" i="1"/>
  <c r="K97" i="1"/>
  <c r="N97" i="1"/>
  <c r="B97" i="1" s="1"/>
  <c r="A98" i="1"/>
  <c r="C98" i="1"/>
  <c r="D98" i="1"/>
  <c r="E98" i="1"/>
  <c r="F98" i="1"/>
  <c r="G98" i="1"/>
  <c r="H98" i="1"/>
  <c r="I98" i="1"/>
  <c r="J98" i="1"/>
  <c r="K98" i="1"/>
  <c r="N98" i="1"/>
  <c r="B98" i="1" s="1"/>
  <c r="A99" i="1"/>
  <c r="C99" i="1"/>
  <c r="D99" i="1"/>
  <c r="E99" i="1"/>
  <c r="F99" i="1"/>
  <c r="G99" i="1"/>
  <c r="H99" i="1"/>
  <c r="I99" i="1"/>
  <c r="J99" i="1"/>
  <c r="K99" i="1"/>
  <c r="N99" i="1"/>
  <c r="B99" i="1" s="1"/>
  <c r="A100" i="1"/>
  <c r="C100" i="1"/>
  <c r="D100" i="1"/>
  <c r="E100" i="1"/>
  <c r="F100" i="1"/>
  <c r="G100" i="1"/>
  <c r="H100" i="1"/>
  <c r="I100" i="1"/>
  <c r="J100" i="1"/>
  <c r="K100" i="1"/>
  <c r="N100" i="1"/>
  <c r="B100" i="1" s="1"/>
  <c r="A101" i="1"/>
  <c r="C101" i="1"/>
  <c r="D101" i="1"/>
  <c r="E101" i="1"/>
  <c r="F101" i="1"/>
  <c r="G101" i="1"/>
  <c r="H101" i="1"/>
  <c r="I101" i="1"/>
  <c r="J101" i="1"/>
  <c r="K101" i="1"/>
  <c r="N101" i="1"/>
  <c r="B101" i="1" s="1"/>
  <c r="A102" i="1"/>
  <c r="C102" i="1"/>
  <c r="D102" i="1"/>
  <c r="E102" i="1"/>
  <c r="F102" i="1"/>
  <c r="G102" i="1"/>
  <c r="H102" i="1"/>
  <c r="I102" i="1"/>
  <c r="J102" i="1"/>
  <c r="K102" i="1"/>
  <c r="N102" i="1"/>
  <c r="B102" i="1" s="1"/>
  <c r="A103" i="1"/>
  <c r="C103" i="1"/>
  <c r="D103" i="1"/>
  <c r="E103" i="1"/>
  <c r="F103" i="1"/>
  <c r="G103" i="1"/>
  <c r="H103" i="1"/>
  <c r="I103" i="1"/>
  <c r="J103" i="1"/>
  <c r="K103" i="1"/>
  <c r="N103" i="1"/>
  <c r="B103" i="1" s="1"/>
  <c r="A104" i="1"/>
  <c r="C104" i="1"/>
  <c r="D104" i="1"/>
  <c r="E104" i="1"/>
  <c r="F104" i="1"/>
  <c r="G104" i="1"/>
  <c r="H104" i="1"/>
  <c r="I104" i="1"/>
  <c r="J104" i="1"/>
  <c r="K104" i="1"/>
  <c r="N104" i="1"/>
  <c r="B104" i="1" s="1"/>
  <c r="A105" i="1"/>
  <c r="C105" i="1"/>
  <c r="D105" i="1"/>
  <c r="E105" i="1"/>
  <c r="F105" i="1"/>
  <c r="G105" i="1"/>
  <c r="H105" i="1"/>
  <c r="I105" i="1"/>
  <c r="J105" i="1"/>
  <c r="K105" i="1"/>
  <c r="N105" i="1"/>
  <c r="B105" i="1" s="1"/>
  <c r="A106" i="1"/>
  <c r="C106" i="1"/>
  <c r="D106" i="1"/>
  <c r="E106" i="1"/>
  <c r="F106" i="1"/>
  <c r="G106" i="1"/>
  <c r="H106" i="1"/>
  <c r="I106" i="1"/>
  <c r="J106" i="1"/>
  <c r="K106" i="1"/>
  <c r="N106" i="1"/>
  <c r="B106" i="1" s="1"/>
  <c r="A107" i="1"/>
  <c r="C107" i="1"/>
  <c r="D107" i="1"/>
  <c r="E107" i="1"/>
  <c r="F107" i="1"/>
  <c r="G107" i="1"/>
  <c r="H107" i="1"/>
  <c r="I107" i="1"/>
  <c r="J107" i="1"/>
  <c r="K107" i="1"/>
  <c r="N107" i="1"/>
  <c r="B107" i="1" s="1"/>
  <c r="A108" i="1"/>
  <c r="C108" i="1"/>
  <c r="D108" i="1"/>
  <c r="E108" i="1"/>
  <c r="F108" i="1"/>
  <c r="G108" i="1"/>
  <c r="H108" i="1"/>
  <c r="I108" i="1"/>
  <c r="J108" i="1"/>
  <c r="K108" i="1"/>
  <c r="N108" i="1"/>
  <c r="B108" i="1" s="1"/>
  <c r="A109" i="1"/>
  <c r="C109" i="1"/>
  <c r="D109" i="1"/>
  <c r="E109" i="1"/>
  <c r="F109" i="1"/>
  <c r="G109" i="1"/>
  <c r="H109" i="1"/>
  <c r="I109" i="1"/>
  <c r="J109" i="1"/>
  <c r="K109" i="1"/>
  <c r="N109" i="1"/>
  <c r="B109" i="1" s="1"/>
  <c r="A110" i="1"/>
  <c r="C110" i="1"/>
  <c r="D110" i="1"/>
  <c r="E110" i="1"/>
  <c r="F110" i="1"/>
  <c r="G110" i="1"/>
  <c r="H110" i="1"/>
  <c r="I110" i="1"/>
  <c r="J110" i="1"/>
  <c r="K110" i="1"/>
  <c r="N110" i="1"/>
  <c r="B110" i="1" s="1"/>
  <c r="A111" i="1"/>
  <c r="C111" i="1"/>
  <c r="D111" i="1"/>
  <c r="E111" i="1"/>
  <c r="F111" i="1"/>
  <c r="G111" i="1"/>
  <c r="H111" i="1"/>
  <c r="I111" i="1"/>
  <c r="J111" i="1"/>
  <c r="K111" i="1"/>
  <c r="N111" i="1"/>
  <c r="B111" i="1" s="1"/>
  <c r="A112" i="1"/>
  <c r="C112" i="1"/>
  <c r="D112" i="1"/>
  <c r="E112" i="1"/>
  <c r="F112" i="1"/>
  <c r="G112" i="1"/>
  <c r="H112" i="1"/>
  <c r="I112" i="1"/>
  <c r="J112" i="1"/>
  <c r="K112" i="1"/>
  <c r="N112" i="1"/>
  <c r="B112" i="1" s="1"/>
  <c r="A113" i="1"/>
  <c r="C113" i="1"/>
  <c r="D113" i="1"/>
  <c r="E113" i="1"/>
  <c r="F113" i="1"/>
  <c r="G113" i="1"/>
  <c r="H113" i="1"/>
  <c r="I113" i="1"/>
  <c r="J113" i="1"/>
  <c r="K113" i="1"/>
  <c r="N113" i="1"/>
  <c r="B113" i="1" s="1"/>
  <c r="A114" i="1"/>
  <c r="C114" i="1"/>
  <c r="D114" i="1"/>
  <c r="E114" i="1"/>
  <c r="F114" i="1"/>
  <c r="G114" i="1"/>
  <c r="H114" i="1"/>
  <c r="I114" i="1"/>
  <c r="J114" i="1"/>
  <c r="K114" i="1"/>
  <c r="N114" i="1"/>
  <c r="B114" i="1" s="1"/>
  <c r="A115" i="1"/>
  <c r="C115" i="1"/>
  <c r="D115" i="1"/>
  <c r="E115" i="1"/>
  <c r="F115" i="1"/>
  <c r="G115" i="1"/>
  <c r="H115" i="1"/>
  <c r="I115" i="1"/>
  <c r="J115" i="1"/>
  <c r="K115" i="1"/>
  <c r="N115" i="1"/>
  <c r="B115" i="1" s="1"/>
  <c r="A116" i="1"/>
  <c r="C116" i="1"/>
  <c r="D116" i="1"/>
  <c r="E116" i="1"/>
  <c r="F116" i="1"/>
  <c r="G116" i="1"/>
  <c r="H116" i="1"/>
  <c r="I116" i="1"/>
  <c r="J116" i="1"/>
  <c r="K116" i="1"/>
  <c r="N116" i="1"/>
  <c r="B116" i="1" s="1"/>
  <c r="A117" i="1"/>
  <c r="C117" i="1"/>
  <c r="D117" i="1"/>
  <c r="E117" i="1"/>
  <c r="F117" i="1"/>
  <c r="G117" i="1"/>
  <c r="H117" i="1"/>
  <c r="I117" i="1"/>
  <c r="J117" i="1"/>
  <c r="K117" i="1"/>
  <c r="N117" i="1"/>
  <c r="B117" i="1" s="1"/>
  <c r="A118" i="1"/>
  <c r="C118" i="1"/>
  <c r="D118" i="1"/>
  <c r="E118" i="1"/>
  <c r="F118" i="1"/>
  <c r="G118" i="1"/>
  <c r="H118" i="1"/>
  <c r="I118" i="1"/>
  <c r="J118" i="1"/>
  <c r="K118" i="1"/>
  <c r="N118" i="1"/>
  <c r="B118" i="1" s="1"/>
  <c r="A119" i="1"/>
  <c r="C119" i="1"/>
  <c r="D119" i="1"/>
  <c r="E119" i="1"/>
  <c r="F119" i="1"/>
  <c r="G119" i="1"/>
  <c r="H119" i="1"/>
  <c r="I119" i="1"/>
  <c r="J119" i="1"/>
  <c r="K119" i="1"/>
  <c r="N119" i="1"/>
  <c r="B119" i="1" s="1"/>
  <c r="A120" i="1"/>
  <c r="C120" i="1"/>
  <c r="D120" i="1"/>
  <c r="E120" i="1"/>
  <c r="F120" i="1"/>
  <c r="G120" i="1"/>
  <c r="H120" i="1"/>
  <c r="I120" i="1"/>
  <c r="J120" i="1"/>
  <c r="K120" i="1"/>
  <c r="N120" i="1"/>
  <c r="B120" i="1" s="1"/>
  <c r="A121" i="1"/>
  <c r="C121" i="1"/>
  <c r="D121" i="1"/>
  <c r="E121" i="1"/>
  <c r="F121" i="1"/>
  <c r="G121" i="1"/>
  <c r="H121" i="1"/>
  <c r="I121" i="1"/>
  <c r="J121" i="1"/>
  <c r="K121" i="1"/>
  <c r="N121" i="1"/>
  <c r="B121" i="1" s="1"/>
  <c r="A122" i="1"/>
  <c r="C122" i="1"/>
  <c r="D122" i="1"/>
  <c r="E122" i="1"/>
  <c r="F122" i="1"/>
  <c r="G122" i="1"/>
  <c r="H122" i="1"/>
  <c r="I122" i="1"/>
  <c r="J122" i="1"/>
  <c r="K122" i="1"/>
  <c r="N122" i="1"/>
  <c r="B122" i="1" s="1"/>
  <c r="A123" i="1"/>
  <c r="C123" i="1"/>
  <c r="D123" i="1"/>
  <c r="E123" i="1"/>
  <c r="F123" i="1"/>
  <c r="G123" i="1"/>
  <c r="H123" i="1"/>
  <c r="I123" i="1"/>
  <c r="J123" i="1"/>
  <c r="K123" i="1"/>
  <c r="N123" i="1"/>
  <c r="B123" i="1" s="1"/>
  <c r="A124" i="1"/>
  <c r="C124" i="1"/>
  <c r="D124" i="1"/>
  <c r="E124" i="1"/>
  <c r="F124" i="1"/>
  <c r="G124" i="1"/>
  <c r="H124" i="1"/>
  <c r="I124" i="1"/>
  <c r="J124" i="1"/>
  <c r="K124" i="1"/>
  <c r="N124" i="1"/>
  <c r="B124" i="1" s="1"/>
  <c r="A125" i="1"/>
  <c r="C125" i="1"/>
  <c r="D125" i="1"/>
  <c r="E125" i="1"/>
  <c r="F125" i="1"/>
  <c r="G125" i="1"/>
  <c r="H125" i="1"/>
  <c r="I125" i="1"/>
  <c r="J125" i="1"/>
  <c r="K125" i="1"/>
  <c r="N125" i="1"/>
  <c r="B125" i="1" s="1"/>
  <c r="A126" i="1"/>
  <c r="C126" i="1"/>
  <c r="D126" i="1"/>
  <c r="E126" i="1"/>
  <c r="F126" i="1"/>
  <c r="G126" i="1"/>
  <c r="H126" i="1"/>
  <c r="I126" i="1"/>
  <c r="J126" i="1"/>
  <c r="K126" i="1"/>
  <c r="N126" i="1"/>
  <c r="B126" i="1" s="1"/>
  <c r="A127" i="1"/>
  <c r="C127" i="1"/>
  <c r="D127" i="1"/>
  <c r="E127" i="1"/>
  <c r="F127" i="1"/>
  <c r="G127" i="1"/>
  <c r="H127" i="1"/>
  <c r="I127" i="1"/>
  <c r="J127" i="1"/>
  <c r="K127" i="1"/>
  <c r="N127" i="1"/>
  <c r="B127" i="1" s="1"/>
  <c r="A128" i="1"/>
  <c r="C128" i="1"/>
  <c r="D128" i="1"/>
  <c r="E128" i="1"/>
  <c r="F128" i="1"/>
  <c r="G128" i="1"/>
  <c r="H128" i="1"/>
  <c r="I128" i="1"/>
  <c r="J128" i="1"/>
  <c r="K128" i="1"/>
  <c r="N128" i="1"/>
  <c r="B128" i="1" s="1"/>
  <c r="A129" i="1"/>
  <c r="C129" i="1"/>
  <c r="D129" i="1"/>
  <c r="E129" i="1"/>
  <c r="F129" i="1"/>
  <c r="G129" i="1"/>
  <c r="H129" i="1"/>
  <c r="I129" i="1"/>
  <c r="J129" i="1"/>
  <c r="K129" i="1"/>
  <c r="N129" i="1"/>
  <c r="B129" i="1" s="1"/>
  <c r="A130" i="1"/>
  <c r="C130" i="1"/>
  <c r="D130" i="1"/>
  <c r="E130" i="1"/>
  <c r="F130" i="1"/>
  <c r="G130" i="1"/>
  <c r="H130" i="1"/>
  <c r="I130" i="1"/>
  <c r="J130" i="1"/>
  <c r="K130" i="1"/>
  <c r="N130" i="1"/>
  <c r="B130" i="1" s="1"/>
  <c r="A131" i="1"/>
  <c r="C131" i="1"/>
  <c r="D131" i="1"/>
  <c r="E131" i="1"/>
  <c r="F131" i="1"/>
  <c r="G131" i="1"/>
  <c r="H131" i="1"/>
  <c r="I131" i="1"/>
  <c r="J131" i="1"/>
  <c r="K131" i="1"/>
  <c r="N131" i="1"/>
  <c r="B131" i="1" s="1"/>
  <c r="A132" i="1"/>
  <c r="C132" i="1"/>
  <c r="D132" i="1"/>
  <c r="E132" i="1"/>
  <c r="F132" i="1"/>
  <c r="G132" i="1"/>
  <c r="H132" i="1"/>
  <c r="I132" i="1"/>
  <c r="J132" i="1"/>
  <c r="K132" i="1"/>
  <c r="N132" i="1"/>
  <c r="B132" i="1" s="1"/>
  <c r="A133" i="1"/>
  <c r="C133" i="1"/>
  <c r="D133" i="1"/>
  <c r="E133" i="1"/>
  <c r="F133" i="1"/>
  <c r="G133" i="1"/>
  <c r="H133" i="1"/>
  <c r="I133" i="1"/>
  <c r="J133" i="1"/>
  <c r="K133" i="1"/>
  <c r="N133" i="1"/>
  <c r="B133" i="1" s="1"/>
  <c r="A134" i="1"/>
  <c r="C134" i="1"/>
  <c r="D134" i="1"/>
  <c r="E134" i="1"/>
  <c r="F134" i="1"/>
  <c r="G134" i="1"/>
  <c r="H134" i="1"/>
  <c r="I134" i="1"/>
  <c r="J134" i="1"/>
  <c r="K134" i="1"/>
  <c r="N134" i="1"/>
  <c r="B134" i="1" s="1"/>
  <c r="A135" i="1"/>
  <c r="C135" i="1"/>
  <c r="D135" i="1"/>
  <c r="E135" i="1"/>
  <c r="F135" i="1"/>
  <c r="G135" i="1"/>
  <c r="H135" i="1"/>
  <c r="I135" i="1"/>
  <c r="J135" i="1"/>
  <c r="K135" i="1"/>
  <c r="N135" i="1"/>
  <c r="B135" i="1" s="1"/>
  <c r="A136" i="1"/>
  <c r="C136" i="1"/>
  <c r="D136" i="1"/>
  <c r="E136" i="1"/>
  <c r="F136" i="1"/>
  <c r="G136" i="1"/>
  <c r="H136" i="1"/>
  <c r="I136" i="1"/>
  <c r="J136" i="1"/>
  <c r="K136" i="1"/>
  <c r="N136" i="1"/>
  <c r="B136" i="1" s="1"/>
  <c r="A137" i="1"/>
  <c r="C137" i="1"/>
  <c r="D137" i="1"/>
  <c r="E137" i="1"/>
  <c r="F137" i="1"/>
  <c r="G137" i="1"/>
  <c r="H137" i="1"/>
  <c r="I137" i="1"/>
  <c r="J137" i="1"/>
  <c r="K137" i="1"/>
  <c r="N137" i="1"/>
  <c r="B137" i="1" s="1"/>
  <c r="A138" i="1"/>
  <c r="C138" i="1"/>
  <c r="D138" i="1"/>
  <c r="E138" i="1"/>
  <c r="F138" i="1"/>
  <c r="G138" i="1"/>
  <c r="H138" i="1"/>
  <c r="I138" i="1"/>
  <c r="J138" i="1"/>
  <c r="K138" i="1"/>
  <c r="N138" i="1"/>
  <c r="B138" i="1" s="1"/>
  <c r="A139" i="1"/>
  <c r="C139" i="1"/>
  <c r="D139" i="1"/>
  <c r="E139" i="1"/>
  <c r="F139" i="1"/>
  <c r="G139" i="1"/>
  <c r="H139" i="1"/>
  <c r="I139" i="1"/>
  <c r="J139" i="1"/>
  <c r="K139" i="1"/>
  <c r="N139" i="1"/>
  <c r="B139" i="1" s="1"/>
  <c r="A140" i="1"/>
  <c r="C140" i="1"/>
  <c r="D140" i="1"/>
  <c r="E140" i="1"/>
  <c r="F140" i="1"/>
  <c r="G140" i="1"/>
  <c r="H140" i="1"/>
  <c r="I140" i="1"/>
  <c r="J140" i="1"/>
  <c r="K140" i="1"/>
  <c r="N140" i="1"/>
  <c r="B140" i="1" s="1"/>
  <c r="A141" i="1"/>
  <c r="C141" i="1"/>
  <c r="D141" i="1"/>
  <c r="E141" i="1"/>
  <c r="F141" i="1"/>
  <c r="G141" i="1"/>
  <c r="H141" i="1"/>
  <c r="I141" i="1"/>
  <c r="J141" i="1"/>
  <c r="K141" i="1"/>
  <c r="N141" i="1"/>
  <c r="B141" i="1" s="1"/>
  <c r="A142" i="1"/>
  <c r="C142" i="1"/>
  <c r="D142" i="1"/>
  <c r="E142" i="1"/>
  <c r="F142" i="1"/>
  <c r="G142" i="1"/>
  <c r="H142" i="1"/>
  <c r="I142" i="1"/>
  <c r="J142" i="1"/>
  <c r="K142" i="1"/>
  <c r="N142" i="1"/>
  <c r="B142" i="1" s="1"/>
  <c r="A143" i="1"/>
  <c r="C143" i="1"/>
  <c r="D143" i="1"/>
  <c r="E143" i="1"/>
  <c r="F143" i="1"/>
  <c r="G143" i="1"/>
  <c r="H143" i="1"/>
  <c r="I143" i="1"/>
  <c r="J143" i="1"/>
  <c r="K143" i="1"/>
  <c r="N143" i="1"/>
  <c r="B143" i="1" s="1"/>
  <c r="A144" i="1"/>
  <c r="C144" i="1"/>
  <c r="D144" i="1"/>
  <c r="E144" i="1"/>
  <c r="F144" i="1"/>
  <c r="G144" i="1"/>
  <c r="H144" i="1"/>
  <c r="I144" i="1"/>
  <c r="J144" i="1"/>
  <c r="K144" i="1"/>
  <c r="N144" i="1"/>
  <c r="B144" i="1" s="1"/>
  <c r="A145" i="1"/>
  <c r="C145" i="1"/>
  <c r="D145" i="1"/>
  <c r="E145" i="1"/>
  <c r="F145" i="1"/>
  <c r="G145" i="1"/>
  <c r="H145" i="1"/>
  <c r="I145" i="1"/>
  <c r="J145" i="1"/>
  <c r="K145" i="1"/>
  <c r="N145" i="1"/>
  <c r="B145" i="1" s="1"/>
  <c r="A146" i="1"/>
  <c r="C146" i="1"/>
  <c r="D146" i="1"/>
  <c r="E146" i="1"/>
  <c r="F146" i="1"/>
  <c r="G146" i="1"/>
  <c r="H146" i="1"/>
  <c r="I146" i="1"/>
  <c r="J146" i="1"/>
  <c r="K146" i="1"/>
  <c r="N146" i="1"/>
  <c r="B146" i="1" s="1"/>
  <c r="A147" i="1"/>
  <c r="C147" i="1"/>
  <c r="D147" i="1"/>
  <c r="E147" i="1"/>
  <c r="F147" i="1"/>
  <c r="G147" i="1"/>
  <c r="H147" i="1"/>
  <c r="I147" i="1"/>
  <c r="J147" i="1"/>
  <c r="K147" i="1"/>
  <c r="N147" i="1"/>
  <c r="B147" i="1" s="1"/>
  <c r="A148" i="1"/>
  <c r="C148" i="1"/>
  <c r="D148" i="1"/>
  <c r="E148" i="1"/>
  <c r="F148" i="1"/>
  <c r="G148" i="1"/>
  <c r="H148" i="1"/>
  <c r="I148" i="1"/>
  <c r="J148" i="1"/>
  <c r="K148" i="1"/>
  <c r="N148" i="1"/>
  <c r="B148" i="1" s="1"/>
  <c r="A149" i="1"/>
  <c r="C149" i="1"/>
  <c r="D149" i="1"/>
  <c r="E149" i="1"/>
  <c r="F149" i="1"/>
  <c r="G149" i="1"/>
  <c r="H149" i="1"/>
  <c r="I149" i="1"/>
  <c r="J149" i="1"/>
  <c r="K149" i="1"/>
  <c r="N149" i="1"/>
  <c r="B149" i="1" s="1"/>
  <c r="A150" i="1"/>
  <c r="C150" i="1"/>
  <c r="D150" i="1"/>
  <c r="E150" i="1"/>
  <c r="F150" i="1"/>
  <c r="G150" i="1"/>
  <c r="H150" i="1"/>
  <c r="I150" i="1"/>
  <c r="J150" i="1"/>
  <c r="K150" i="1"/>
  <c r="N150" i="1"/>
  <c r="B150" i="1" s="1"/>
  <c r="A151" i="1"/>
  <c r="C151" i="1"/>
  <c r="D151" i="1"/>
  <c r="E151" i="1"/>
  <c r="F151" i="1"/>
  <c r="G151" i="1"/>
  <c r="H151" i="1"/>
  <c r="I151" i="1"/>
  <c r="J151" i="1"/>
  <c r="K151" i="1"/>
  <c r="N151" i="1"/>
  <c r="B151" i="1" s="1"/>
  <c r="A152" i="1"/>
  <c r="C152" i="1"/>
  <c r="D152" i="1"/>
  <c r="E152" i="1"/>
  <c r="F152" i="1"/>
  <c r="G152" i="1"/>
  <c r="H152" i="1"/>
  <c r="I152" i="1"/>
  <c r="J152" i="1"/>
  <c r="K152" i="1"/>
  <c r="N152" i="1"/>
  <c r="B152" i="1" s="1"/>
  <c r="A153" i="1"/>
  <c r="C153" i="1"/>
  <c r="D153" i="1"/>
  <c r="E153" i="1"/>
  <c r="F153" i="1"/>
  <c r="G153" i="1"/>
  <c r="H153" i="1"/>
  <c r="I153" i="1"/>
  <c r="J153" i="1"/>
  <c r="K153" i="1"/>
  <c r="N153" i="1"/>
  <c r="B153" i="1" s="1"/>
  <c r="A154" i="1"/>
  <c r="C154" i="1"/>
  <c r="D154" i="1"/>
  <c r="E154" i="1"/>
  <c r="F154" i="1"/>
  <c r="G154" i="1"/>
  <c r="H154" i="1"/>
  <c r="I154" i="1"/>
  <c r="J154" i="1"/>
  <c r="K154" i="1"/>
  <c r="N154" i="1"/>
  <c r="B154" i="1" s="1"/>
  <c r="A155" i="1"/>
  <c r="C155" i="1"/>
  <c r="D155" i="1"/>
  <c r="E155" i="1"/>
  <c r="F155" i="1"/>
  <c r="G155" i="1"/>
  <c r="H155" i="1"/>
  <c r="I155" i="1"/>
  <c r="J155" i="1"/>
  <c r="K155" i="1"/>
  <c r="N155" i="1"/>
  <c r="B155" i="1" s="1"/>
  <c r="A156" i="1"/>
  <c r="C156" i="1"/>
  <c r="D156" i="1"/>
  <c r="E156" i="1"/>
  <c r="F156" i="1"/>
  <c r="G156" i="1"/>
  <c r="H156" i="1"/>
  <c r="I156" i="1"/>
  <c r="J156" i="1"/>
  <c r="K156" i="1"/>
  <c r="N156" i="1"/>
  <c r="B156" i="1" s="1"/>
  <c r="A157" i="1"/>
  <c r="C157" i="1"/>
  <c r="D157" i="1"/>
  <c r="E157" i="1"/>
  <c r="F157" i="1"/>
  <c r="G157" i="1"/>
  <c r="H157" i="1"/>
  <c r="I157" i="1"/>
  <c r="J157" i="1"/>
  <c r="K157" i="1"/>
  <c r="N157" i="1"/>
  <c r="B157" i="1" s="1"/>
  <c r="A158" i="1"/>
  <c r="C158" i="1"/>
  <c r="D158" i="1"/>
  <c r="E158" i="1"/>
  <c r="F158" i="1"/>
  <c r="G158" i="1"/>
  <c r="H158" i="1"/>
  <c r="I158" i="1"/>
  <c r="J158" i="1"/>
  <c r="K158" i="1"/>
  <c r="N158" i="1"/>
  <c r="B158" i="1" s="1"/>
  <c r="A159" i="1"/>
  <c r="C159" i="1"/>
  <c r="D159" i="1"/>
  <c r="E159" i="1"/>
  <c r="F159" i="1"/>
  <c r="G159" i="1"/>
  <c r="H159" i="1"/>
  <c r="I159" i="1"/>
  <c r="J159" i="1"/>
  <c r="K159" i="1"/>
  <c r="N159" i="1"/>
  <c r="B159" i="1" s="1"/>
  <c r="A160" i="1"/>
  <c r="C160" i="1"/>
  <c r="D160" i="1"/>
  <c r="E160" i="1"/>
  <c r="F160" i="1"/>
  <c r="G160" i="1"/>
  <c r="H160" i="1"/>
  <c r="I160" i="1"/>
  <c r="J160" i="1"/>
  <c r="K160" i="1"/>
  <c r="N160" i="1"/>
  <c r="B160" i="1" s="1"/>
  <c r="A161" i="1"/>
  <c r="C161" i="1"/>
  <c r="D161" i="1"/>
  <c r="E161" i="1"/>
  <c r="F161" i="1"/>
  <c r="G161" i="1"/>
  <c r="H161" i="1"/>
  <c r="I161" i="1"/>
  <c r="J161" i="1"/>
  <c r="K161" i="1"/>
  <c r="N161" i="1"/>
  <c r="B161" i="1" s="1"/>
  <c r="A162" i="1"/>
  <c r="C162" i="1"/>
  <c r="D162" i="1"/>
  <c r="E162" i="1"/>
  <c r="F162" i="1"/>
  <c r="G162" i="1"/>
  <c r="H162" i="1"/>
  <c r="I162" i="1"/>
  <c r="J162" i="1"/>
  <c r="K162" i="1"/>
  <c r="N162" i="1"/>
  <c r="B162" i="1" s="1"/>
  <c r="A163" i="1"/>
  <c r="C163" i="1"/>
  <c r="D163" i="1"/>
  <c r="E163" i="1"/>
  <c r="F163" i="1"/>
  <c r="G163" i="1"/>
  <c r="H163" i="1"/>
  <c r="I163" i="1"/>
  <c r="J163" i="1"/>
  <c r="K163" i="1"/>
  <c r="N163" i="1"/>
  <c r="B163" i="1" s="1"/>
  <c r="A164" i="1"/>
  <c r="C164" i="1"/>
  <c r="D164" i="1"/>
  <c r="E164" i="1"/>
  <c r="F164" i="1"/>
  <c r="G164" i="1"/>
  <c r="H164" i="1"/>
  <c r="I164" i="1"/>
  <c r="J164" i="1"/>
  <c r="K164" i="1"/>
  <c r="N164" i="1"/>
  <c r="B164" i="1" s="1"/>
  <c r="N2" i="1"/>
  <c r="B2" i="1" s="1"/>
  <c r="D2" i="1"/>
  <c r="C2" i="1"/>
  <c r="I2" i="1"/>
  <c r="H2" i="1"/>
  <c r="K2" i="1"/>
  <c r="J2" i="1"/>
  <c r="G2" i="1"/>
  <c r="F2" i="1"/>
  <c r="E2" i="1"/>
  <c r="A2" i="1"/>
</calcChain>
</file>

<file path=xl/sharedStrings.xml><?xml version="1.0" encoding="utf-8"?>
<sst xmlns="http://schemas.openxmlformats.org/spreadsheetml/2006/main" count="4031" uniqueCount="1412">
  <si>
    <t>Reference</t>
  </si>
  <si>
    <t>Title</t>
  </si>
  <si>
    <t>Publication Details</t>
  </si>
  <si>
    <t>Bundibugyo?</t>
  </si>
  <si>
    <t>Focus on 2026 outbreak?</t>
  </si>
  <si>
    <t xml:space="preserve">Key summary </t>
  </si>
  <si>
    <t>Foci</t>
  </si>
  <si>
    <t>Population</t>
  </si>
  <si>
    <t>Transmission</t>
  </si>
  <si>
    <t>Outcome Summary</t>
  </si>
  <si>
    <t>Methods Summary</t>
  </si>
  <si>
    <t>Date Added</t>
  </si>
  <si>
    <t>https://doi.org/</t>
  </si>
  <si>
    <t>Refid</t>
  </si>
  <si>
    <t>DOI</t>
  </si>
  <si>
    <t>URL</t>
  </si>
  <si>
    <t>User</t>
  </si>
  <si>
    <t>Ris Code</t>
  </si>
  <si>
    <t>Level</t>
  </si>
  <si>
    <t>fulltext_screening_k</t>
  </si>
  <si>
    <t>URL_evidence</t>
  </si>
  <si>
    <t>Bundibugyo</t>
  </si>
  <si>
    <t>Bundibugyo_evidence</t>
  </si>
  <si>
    <t>Other ebolavirus</t>
  </si>
  <si>
    <t>Other ebolavirus_evidence</t>
  </si>
  <si>
    <t>2026 Bundibugyo outbreak?</t>
  </si>
  <si>
    <t>2026 Bundibugyo outbreak?_evidence</t>
  </si>
  <si>
    <t>What language is this study?</t>
  </si>
  <si>
    <t>What language is this study?_comment</t>
  </si>
  <si>
    <t>What language is this study?_evidence</t>
  </si>
  <si>
    <t>Publication Status?</t>
  </si>
  <si>
    <t>Publication Status?_evidence</t>
  </si>
  <si>
    <t>Article Type?</t>
  </si>
  <si>
    <t>Article Type?_evidence</t>
  </si>
  <si>
    <t>Key Findings</t>
  </si>
  <si>
    <t>Key Findings_evidence</t>
  </si>
  <si>
    <t>mapping_ai__in_progress_k</t>
  </si>
  <si>
    <t>Human - General population</t>
  </si>
  <si>
    <t>Human - General population_evidence</t>
  </si>
  <si>
    <t>Human - Indigenous</t>
  </si>
  <si>
    <t>Human - Indigenous_evidence</t>
  </si>
  <si>
    <t>Humans - children</t>
  </si>
  <si>
    <t>Humans - children_evidence</t>
  </si>
  <si>
    <t>Humans - elderly</t>
  </si>
  <si>
    <t>Humans - elderly_evidence</t>
  </si>
  <si>
    <t>Humans - pregnant</t>
  </si>
  <si>
    <t>Humans - pregnant_evidence</t>
  </si>
  <si>
    <t>Human - Immunocompromised</t>
  </si>
  <si>
    <t>Human - Immunocompromised_evidence</t>
  </si>
  <si>
    <t>Human - Congregate living</t>
  </si>
  <si>
    <t>Human - Congregate living_evidence</t>
  </si>
  <si>
    <t>Human - Ethnic minorities</t>
  </si>
  <si>
    <t>Human - Ethnic minorities_evidence</t>
  </si>
  <si>
    <t>Human - Healthcare workers</t>
  </si>
  <si>
    <t>Human - Healthcare workers_evidence</t>
  </si>
  <si>
    <t>Human - Did not specify</t>
  </si>
  <si>
    <t>Human - Did not specify_evidence</t>
  </si>
  <si>
    <t>Animal - natural infection</t>
  </si>
  <si>
    <t>Animal - natural infection_evidence</t>
  </si>
  <si>
    <t>Animal - model of disease</t>
  </si>
  <si>
    <t>Animal - model of disease_evidence</t>
  </si>
  <si>
    <t>Vectors &amp;amp;amp;ndash; Ticks</t>
  </si>
  <si>
    <t>Vectors &amp;amp;amp;ndash; Ticks_evidence</t>
  </si>
  <si>
    <t>Vectors &amp;amp;amp;ndash; Mosquitos</t>
  </si>
  <si>
    <t>Vectors &amp;amp;amp;ndash; Mosquitos_evidence</t>
  </si>
  <si>
    <t>Vectors &amp;amp;amp;ndash; Fleas</t>
  </si>
  <si>
    <t>Vectors &amp;amp;amp;ndash; Fleas_evidence</t>
  </si>
  <si>
    <t>Vectors &amp;amp;amp;ndash; Other</t>
  </si>
  <si>
    <t>Vectors &amp;amp;amp;ndash; Other_evidence</t>
  </si>
  <si>
    <t>Food</t>
  </si>
  <si>
    <t>Food_evidence</t>
  </si>
  <si>
    <t>Water</t>
  </si>
  <si>
    <t>Water_evidence</t>
  </si>
  <si>
    <t>_</t>
  </si>
  <si>
    <t>__evidence</t>
  </si>
  <si>
    <t>Observational</t>
  </si>
  <si>
    <t>Observational_evidence</t>
  </si>
  <si>
    <t>Descriptive</t>
  </si>
  <si>
    <t>Descriptive_evidence</t>
  </si>
  <si>
    <t>Experimental</t>
  </si>
  <si>
    <t>Experimental_evidence</t>
  </si>
  <si>
    <t>RCT</t>
  </si>
  <si>
    <t>RCT_evidence</t>
  </si>
  <si>
    <t>Modeling</t>
  </si>
  <si>
    <t>Modeling_evidence</t>
  </si>
  <si>
    <t>Risk Assessment</t>
  </si>
  <si>
    <t>Risk Assessment_evidence</t>
  </si>
  <si>
    <t>Qualitative</t>
  </si>
  <si>
    <t>Qualitative_evidence</t>
  </si>
  <si>
    <t>Contact tracing study/outbreak investigation</t>
  </si>
  <si>
    <t>Contact tracing study/outbreak investigation_evidence</t>
  </si>
  <si>
    <t>Internet analytics</t>
  </si>
  <si>
    <t>Internet analytics_evidence</t>
  </si>
  <si>
    <t>Diagnostic test accuracy</t>
  </si>
  <si>
    <t>Diagnostic test accuracy_evidence</t>
  </si>
  <si>
    <t>Unclear</t>
  </si>
  <si>
    <t>Unclear_evidence</t>
  </si>
  <si>
    <t>Vertical</t>
  </si>
  <si>
    <t>Vertical_evidence</t>
  </si>
  <si>
    <t>Zoonotic</t>
  </si>
  <si>
    <t>Zoonotic_evidence</t>
  </si>
  <si>
    <t>Airborne/respiratory</t>
  </si>
  <si>
    <t>Airborne/respiratory_evidence</t>
  </si>
  <si>
    <t>Direct contact</t>
  </si>
  <si>
    <t>Direct contact_evidence</t>
  </si>
  <si>
    <t>Fomite</t>
  </si>
  <si>
    <t>Fomite_evidence</t>
  </si>
  <si>
    <t>Fecal/oral</t>
  </si>
  <si>
    <t>Fecal/oral_evidence</t>
  </si>
  <si>
    <t>Blood transfusion</t>
  </si>
  <si>
    <t>Blood transfusion_evidence</t>
  </si>
  <si>
    <t>Vectorborne</t>
  </si>
  <si>
    <t>Vectorborne_evidence</t>
  </si>
  <si>
    <t>Foodborne</t>
  </si>
  <si>
    <t>Foodborne_evidence</t>
  </si>
  <si>
    <t>Waterborne</t>
  </si>
  <si>
    <t>Waterborne_evidence</t>
  </si>
  <si>
    <t>Incidence / prevalence</t>
  </si>
  <si>
    <t>Incidence / prevalence_evidence</t>
  </si>
  <si>
    <t>Seroprevalence</t>
  </si>
  <si>
    <t>Seroprevalence_evidence</t>
  </si>
  <si>
    <t>Infection risk factors</t>
  </si>
  <si>
    <t>Infection risk factors_evidence</t>
  </si>
  <si>
    <t>Outbreak Investigation</t>
  </si>
  <si>
    <t>Outbreak Investigation_evidence</t>
  </si>
  <si>
    <t>Reproduction Number</t>
  </si>
  <si>
    <t>Reproduction Number_evidence</t>
  </si>
  <si>
    <t>Attack Rate or SAR</t>
  </si>
  <si>
    <t>Attack Rate or SAR_evidence</t>
  </si>
  <si>
    <t>Serial Interval</t>
  </si>
  <si>
    <t>Serial Interval_evidence</t>
  </si>
  <si>
    <t>Infectious period</t>
  </si>
  <si>
    <t>Infectious period_evidence</t>
  </si>
  <si>
    <t>Incubation / Latent period</t>
  </si>
  <si>
    <t>Incubation / Latent period_evidence</t>
  </si>
  <si>
    <t>Size or Duration estimate</t>
  </si>
  <si>
    <t>Size or Duration estimate_evidence</t>
  </si>
  <si>
    <t>Viral kinetics</t>
  </si>
  <si>
    <t>Viral kinetics_evidence</t>
  </si>
  <si>
    <t>Other Epi</t>
  </si>
  <si>
    <t>Other Epi_evidence</t>
  </si>
  <si>
    <t>Acute infection characteristics</t>
  </si>
  <si>
    <t>Acute infection characteristics_evidence</t>
  </si>
  <si>
    <t>Post-acute infection characteristics</t>
  </si>
  <si>
    <t>Post-acute infection characteristics_evidence</t>
  </si>
  <si>
    <t>Long term infection characteristics</t>
  </si>
  <si>
    <t>Long term infection characteristics_evidence</t>
  </si>
  <si>
    <t>Co-infection</t>
  </si>
  <si>
    <t>Co-infection_evidence</t>
  </si>
  <si>
    <t>Mortality</t>
  </si>
  <si>
    <t>Mortality_evidence</t>
  </si>
  <si>
    <t>Hospitalizations</t>
  </si>
  <si>
    <t>Hospitalizations_evidence</t>
  </si>
  <si>
    <t>Duration of disease</t>
  </si>
  <si>
    <t>Duration of disease_evidence</t>
  </si>
  <si>
    <t>Severity risk factors</t>
  </si>
  <si>
    <t>Severity risk factors_evidence</t>
  </si>
  <si>
    <t>Mortality risk factors</t>
  </si>
  <si>
    <t>Mortality risk factors_evidence</t>
  </si>
  <si>
    <t>Other clinical data</t>
  </si>
  <si>
    <t>Other clinical data_evidence</t>
  </si>
  <si>
    <t>Infection immunity - efficacy/effectiveness</t>
  </si>
  <si>
    <t>Infection immunity - efficacy/effectiveness_evidence</t>
  </si>
  <si>
    <t>Vaccination immunity - efficacy/effectiveness</t>
  </si>
  <si>
    <t>Vaccination immunity - efficacy/effectiveness_evidence</t>
  </si>
  <si>
    <t>Hybrid immunity - efficacy/effectiveness</t>
  </si>
  <si>
    <t>Hybrid immunity - efficacy/effectiveness_evidence</t>
  </si>
  <si>
    <t>Infection immunity measures (Ab, titre, cytokines)</t>
  </si>
  <si>
    <t>Infection immunity measures (Ab, titre, cytokines)_evidence</t>
  </si>
  <si>
    <t>Vaccine immunity measures (Ab, titre, cytokines)</t>
  </si>
  <si>
    <t>Vaccine immunity measures (Ab, titre, cytokines)_evidence</t>
  </si>
  <si>
    <t>Hybrid immunity measures (Ab, titre, cytokines)</t>
  </si>
  <si>
    <t>Hybrid immunity measures (Ab, titre, cytokines)_evidence</t>
  </si>
  <si>
    <t>KAB and uptake</t>
  </si>
  <si>
    <t>KAB and uptake_evidence</t>
  </si>
  <si>
    <t>Implementation</t>
  </si>
  <si>
    <t>Implementation_evidence</t>
  </si>
  <si>
    <t>Adverse effects</t>
  </si>
  <si>
    <t>Adverse effects_evidence</t>
  </si>
  <si>
    <t>Vaccine development</t>
  </si>
  <si>
    <t>Vaccine development_evidence</t>
  </si>
  <si>
    <t>Masks - PHM</t>
  </si>
  <si>
    <t>Masks - PHM_evidence</t>
  </si>
  <si>
    <t>Physical distance - PHM</t>
  </si>
  <si>
    <t>Physical distance - PHM_evidence</t>
  </si>
  <si>
    <t>Quarantine - PHM</t>
  </si>
  <si>
    <t>Quarantine - PHM_evidence</t>
  </si>
  <si>
    <t>Lockdown - PHM</t>
  </si>
  <si>
    <t>Lockdown - PHM_evidence</t>
  </si>
  <si>
    <t>Border measure - PHM</t>
  </si>
  <si>
    <t>Border measure - PHM_evidence</t>
  </si>
  <si>
    <t>Other PHM</t>
  </si>
  <si>
    <t>Other PHM_evidence</t>
  </si>
  <si>
    <t>Hand hygiene - IPC</t>
  </si>
  <si>
    <t>Hand hygiene - IPC_evidence</t>
  </si>
  <si>
    <t>PPE - IPC</t>
  </si>
  <si>
    <t>PPE - IPC_evidence</t>
  </si>
  <si>
    <t>HVAC - IPC</t>
  </si>
  <si>
    <t>HVAC - IPC_evidence</t>
  </si>
  <si>
    <t>Chemical disinfectant - IPC</t>
  </si>
  <si>
    <t>Chemical disinfectant - IPC_evidence</t>
  </si>
  <si>
    <t>UVGI - IPC</t>
  </si>
  <si>
    <t>UVGI - IPC_evidence</t>
  </si>
  <si>
    <t>Workflow guidance - IPC</t>
  </si>
  <si>
    <t>Workflow guidance - IPC_evidence</t>
  </si>
  <si>
    <t>Other IPC</t>
  </si>
  <si>
    <t>Other IPC_evidence</t>
  </si>
  <si>
    <t>Thearapeutics</t>
  </si>
  <si>
    <t>Thearapeutics_evidence</t>
  </si>
  <si>
    <t>Prophylaxis</t>
  </si>
  <si>
    <t>Prophylaxis_evidence</t>
  </si>
  <si>
    <t>Alternative medicine</t>
  </si>
  <si>
    <t>Alternative medicine_evidence</t>
  </si>
  <si>
    <t>Other medical treatments</t>
  </si>
  <si>
    <t>Other medical treatments_evidence</t>
  </si>
  <si>
    <t>DTA</t>
  </si>
  <si>
    <t>DTA_evidence</t>
  </si>
  <si>
    <t>Computer-assisted clinical diagnosis</t>
  </si>
  <si>
    <t>Computer-assisted clinical diagnosis_evidence</t>
  </si>
  <si>
    <t>Wastewater test accuracy</t>
  </si>
  <si>
    <t>Wastewater test accuracy_evidence</t>
  </si>
  <si>
    <t>Pathogen mutations</t>
  </si>
  <si>
    <t>Pathogen mutations_evidence</t>
  </si>
  <si>
    <t>pathogen structural characterization</t>
  </si>
  <si>
    <t>pathogen structural characterization_evidence</t>
  </si>
  <si>
    <t>pathogen  Protein-inhibitor/binding interactions</t>
  </si>
  <si>
    <t>pathogen  Protein-inhibitor/binding interactions_evidence</t>
  </si>
  <si>
    <t>Phylogenetic analysis/molecular epidemiology</t>
  </si>
  <si>
    <t>Phylogenetic analysis/molecular epidemiology_evidence</t>
  </si>
  <si>
    <t>Economic cost of disease</t>
  </si>
  <si>
    <t>Economic cost of disease_evidence</t>
  </si>
  <si>
    <t>Internet Analytics</t>
  </si>
  <si>
    <t>Internet Analytics_evidence</t>
  </si>
  <si>
    <t>Mental health</t>
  </si>
  <si>
    <t>Mental health_evidence</t>
  </si>
  <si>
    <t>Environmental impacts</t>
  </si>
  <si>
    <t>Environmental impacts_evidence</t>
  </si>
  <si>
    <t>Indirect economic costs</t>
  </si>
  <si>
    <t>Indirect economic costs_evidence</t>
  </si>
  <si>
    <t>Impacts on other diseases</t>
  </si>
  <si>
    <t>Impacts on other diseases_evidence</t>
  </si>
  <si>
    <t>Impacts on  other incidents</t>
  </si>
  <si>
    <t>Impacts on  other incidents_evidence</t>
  </si>
  <si>
    <t>Impacts on healthcare system</t>
  </si>
  <si>
    <t>Impacts on healthcare system_evidence</t>
  </si>
  <si>
    <t>Indirect impact on metal health</t>
  </si>
  <si>
    <t>Indirect impact on metal health_evidence</t>
  </si>
  <si>
    <t>Indirect - food insecurity</t>
  </si>
  <si>
    <t>Indirect - food insecurity_evidence</t>
  </si>
  <si>
    <t>Indirect - substance abuse</t>
  </si>
  <si>
    <t>Indirect - substance abuse_evidence</t>
  </si>
  <si>
    <t>Indirect - violence</t>
  </si>
  <si>
    <t>Indirect - violence_evidence</t>
  </si>
  <si>
    <t>Indirect -  lifestyle</t>
  </si>
  <si>
    <t>Indirect -  lifestyle_evidence</t>
  </si>
  <si>
    <t>Indirect -  education</t>
  </si>
  <si>
    <t>Indirect -  education_evidence</t>
  </si>
  <si>
    <t>Other indirect  impact</t>
  </si>
  <si>
    <t>Other indirect  impact_evidence</t>
  </si>
  <si>
    <t>Outcomes Summary</t>
  </si>
  <si>
    <t>Outcomes Summary_evidence</t>
  </si>
  <si>
    <t>Methods Summary_evidence</t>
  </si>
  <si>
    <t>LeeY-Z, et al, (2025), Nature Communications</t>
  </si>
  <si>
    <t>Rational design of next-generation filovirus vaccines combining glycoprotein stabilization and nanoparticle display with glycan modification</t>
  </si>
  <si>
    <t>10.1038/s41467-025-66367-7</t>
  </si>
  <si>
    <t>https://www.nature.com/ncomms/ https://ovidsp.ovid.com/ovidweb.cgi?T=JS&amp;PAGE=reference&amp;D=emed26&amp;NEWS=N&amp;AN=2042036262 http://CT4XW3QJ9Z.search.serialssolutions.com/?url_ver=Z39.88-2004&amp;rft_val_fmt=info:ofi/fmt:kev:mtx:journal&amp;rfr_id=info:sid/Ovid:emed26&amp;rft.genre=article&amp;rft_id=info:doi/10.1038%2Fs41467-025-66367-7&amp;rft_id=info:pmid/41387700&amp;rft.issn=2041-1723&amp;rft.volume=16&amp;rft.issue=1&amp;rft.spage=11368&amp;rft.pages=&amp;rft.date=2025&amp;rft.jtitle=Nature+Communications&amp;rft.atitle=Rational+design+of+next-generation+filovirus+vaccines+combining+glycoprotein+stabilization+and+nanoparticle+display+with+glycan+modification&amp;rft.aulast=Lee</t>
  </si>
  <si>
    <t>Miriam.Samuel</t>
  </si>
  <si>
    <t>3,2</t>
  </si>
  <si>
    <t>https://www.nature.com/articles/s41467-025-66367-7#Sec15</t>
  </si>
  <si>
    <t>No</t>
  </si>
  <si>
    <t>English</t>
  </si>
  <si>
    <t>Peer-reviewed publication</t>
  </si>
  <si>
    <t>Primary - article</t>
  </si>
  <si>
    <t>The study demonstrates that self-assembling protein nanoparticles (SApNPs) displaying stabilized filovirus glycoproteins (GPs) from multiple filoviruses, including Bundibugyo virus, significantly enhance immune responses in mice, supporting their potential for broad next-generation filovirus vaccines.</t>
  </si>
  <si>
    <t>VACCINE DEVELOPMENT:
This study successfully designed and tested next-generation filovirus vaccines by stabilizing glycoproteins, optimizing nanoparticle delivery, and modifying glycans to enhance immune responses. Key outcomes included stronger antibody production, prolonged lymph node retention, and cross-reactivity against multiple filoviruses, paving the way for broadly effective vaccine development. 
For EBOV, SUDV, and BDBV, comparative analysis of GPΔmuc-WL2P2 and -WL2P4 constructs revealed that the P4 mutation conferred a more favorable thermostability profile, while trimer yield, purity, and antigenicity remained comparable between P2 and P4.</t>
  </si>
  <si>
    <t>This study combined structural biology, protein engineering, and immunology to design filovirus vaccines by stabilizing glycoproteins, optimizing nanoparticle display, and modifying glycans. Techniques included crystal structure analysis, nanoparticle scaffolding, glycan enrichment/trimming, and in vitro/in vivo testing to assess stability, immunogenicity, and antibody responses. 
Here, we sought to obtain atomic details for the more stable EBOV GPΔmuc-WL2P4.</t>
  </si>
  <si>
    <t>Multivalent mRNA vaccine platform with compatible antigens conferred broad-spectrum protection against orthoebolaviruses' exposure</t>
  </si>
  <si>
    <t>10.1073/pnas.2517814123</t>
  </si>
  <si>
    <t>http://europepmc.org/abstract/MED/42150061 https://doi.org/10.1073/pnas.2517814123</t>
  </si>
  <si>
    <t>https://www.pnas.org/doi/10.1073/pnas.2517814123</t>
  </si>
  <si>
    <t>In this study, a multivalent broad-spectrum mRNA vaccine ([GPs+NP]@LNP) was developed to defend against EBOV, BDBV and SUDV strains. In mouse models, the coordinated antigenic interaction of nucleoproteins and glycoproteins highlights the potential of the vaccine as a promising candidate to protect against all three major pathogenic orthoebolaviruses.</t>
  </si>
  <si>
    <t>VACCINE IMMUNITY: [GPs+NP]@LNP demonstrated superior immunogenicity compared with a simple mixture of monovalent vaccines. [GPs+NP]@LNP conferred complete, broad-spectrum, and long-lasting protection against lethal orthoebolaviruses infection in animal models, with immunity persisting up to 1 y, suggesting strong potential for clinical application.
VACCINE DEVELOPMENT: Developed a broad-spectrum mRNA vaccine, [GPs+NP]@LNP. It delivers a mix of mRNAs encoding glycoproteins (GPs) from all three viruses plus EBOV nucleoprotein (NP), using a single LNP.</t>
  </si>
  <si>
    <t>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t>
  </si>
  <si>
    <t>Kaweesa, et al, (2026), New Microbes and New Infections</t>
  </si>
  <si>
    <t>Resilience and residuals beyond containment - the hidden burden of Bundibugyo Ebola virus survivorship sixteen years on: a cross-sectional observational study</t>
  </si>
  <si>
    <t>10.1016/j.nmni.2025.101685</t>
  </si>
  <si>
    <t>https://www.sciencedirect.com/science/article/pii/S2052297525001246 http://CT4XW3QJ9Z.search.serialssolutions.com/?url_ver=Z39.88-2004&amp;rft_val_fmt=info:ofi/fmt:kev:mtx:journal&amp;rfr_id=info:sid/Ovid:cagh&amp;rft.genre=article&amp;rft_id=info:doi/10.1016%2Fj.nmni.2025.101685&amp;rft_id=info:pmid/&amp;rft.issn=2052-2975&amp;rft.volume=69&amp;rft.issue=&amp;rft.spage=&amp;rft.pages=&amp;rft.date=2026&amp;rft.jtitle=New+Microbes+and+New+Infections&amp;rft.atitle=Resilience+and+residuals+beyond+containment+-+the+hidden+burden+of+Bundibugyo+Ebola+virus+survivorship+sixteen+years+on%3A+a+cross-sectional+observational+study.&amp;rft.aulast=Kaweesa</t>
  </si>
  <si>
    <t>Miriam.Samuel,kaitlin.young</t>
  </si>
  <si>
    <t>2,3</t>
  </si>
  <si>
    <t>https://www.sciencedirect.com/science/article/pii/S2052297525001246#sec1</t>
  </si>
  <si>
    <t>Bundibugyo virus disease (BVD) survivorship was marked by persistent but heterogeneous multisystemic sequelae, particularly neurological and musculoskeletal symptoms, alongside subtle immunometabolic perturbations and remarkable mental health resilience. These findings support the need for virus-specific post-BVD care and sustained follow-up to inform survivor health policy.</t>
  </si>
  <si>
    <t>CLINICAL DATA - Long-term sequelae: 
Survivors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t>
  </si>
  <si>
    <t>Cross-sectional observational study involving 40 laboratory-confirmed BVD survivors and 23 age- and sex-matched unexposed community controls. Participants underwent comprehensive clinical evaluations, laboratory testing, and standardised mental health assessments. Statistical comparisons used rank-sum, chi-squared, and correlation analyses.</t>
  </si>
  <si>
    <t>ZhangX, et al, (2026), Research</t>
  </si>
  <si>
    <t>Computational Design of Broad-Spectrum Ebola Antibodies through Framework and Complementarity-Determining Region Synergistic Optimization</t>
  </si>
  <si>
    <t>10.34133/research.1211</t>
  </si>
  <si>
    <t>https://spj.science.org/doi/pdf/10.34133/research.1211?download=true https://ovidsp.ovid.com/ovidweb.cgi?T=JS&amp;PAGE=reference&amp;D=emexb&amp;NEWS=N&amp;AN=2044365807 http://CT4XW3QJ9Z.search.serialssolutions.com/?url_ver=Z39.88-2004&amp;rft_val_fmt=info:ofi/fmt:kev:mtx:journal&amp;rfr_id=info:sid/Ovid:emexb&amp;rft.genre=article&amp;rft_id=info:doi/10.34133%2Fresearch.1211&amp;rft_id=info:pmid/&amp;rft.issn=2096-5168&amp;rft.volume=9&amp;rft.issue=&amp;rft.spage=1211&amp;rft.pages=&amp;rft.date=2026&amp;rft.jtitle=Research&amp;rft.atitle=Computational+Design+of+Broad-Spectrum+Ebola+Antibodies+through+Framework+and+Complementarity-Determining+Region+Synergistic+Optimization&amp;rft.aulast=Zhang</t>
  </si>
  <si>
    <t>Kusala.Pussegoda</t>
  </si>
  <si>
    <t>https://spj.science.org/doi/10.34133/research.1211</t>
  </si>
  <si>
    <t>This study describes a computational–experimental approach for engineering antibodies with stronger and broader activity against diverse Ebola viruses. Modified versions of ADI‑15878 and ADI‑15946 showed major potency gains—including a 7‑fold improvement against BDBV and up to 100‑fold against Sudan virus—while retaining stability and cross‑virus effectiveness.</t>
  </si>
  <si>
    <t>VACCINE DEVELOPMENT:
This study presents a computational–experimental pipeline designed to improve the potency and breadth of antibodies targeting highly variable Ebola viruses, including Bundibugyo virus (BDBV).  For ADI‑15878, a variant called W32G‑LC was created through framework grafting and CDR mutagenesis. This engineered antibody showed significantly enhanced neutralization, including a 7‑fold improvement against BDBV, while maintaining structural stability. For ADI‑15946, docking-guided multi‑site light‑chain designs produced variants with dramatically improved activity—up to 100‑fold increases against Sudan virus—without reducing effectiveness against EBOV or BDBV.</t>
  </si>
  <si>
    <t>This pipeline employs multiple computational tools to prioritize affinity-enhancing mutations in complementarity-determining regions (CDRs) and to explore indirect effects through framework region (FR) modifications. These include mCSM-AB and mmCSM-AB for mutant screening, Foldseek for FR grafting, and ZDOCK for complex modeling. Candidate antibodies were expressed, purified, and evaluated using pseudovirus neutralization assays, flow cytometry binding assays, and surface plasmon resonance (SPR) affinity measurements.</t>
  </si>
  <si>
    <t>Scientists play catch-up to startling Ebola outbreak</t>
  </si>
  <si>
    <t>10.1126/science.aej0202</t>
  </si>
  <si>
    <t>http://europepmc.org/abstract/MED/42166572 https://doi.org/10.1126/science.aej0202</t>
  </si>
  <si>
    <t>https://www.science.org/content/article/scientists-play-catch-startling-ebola-outbreak</t>
  </si>
  <si>
    <t>Other grey literature report</t>
  </si>
  <si>
    <t>News</t>
  </si>
  <si>
    <t>WangM, et al, (2026), Nature Communications</t>
  </si>
  <si>
    <t>A highly potent nanobody-based bispecific therapeutic provides broad-spectrum protection against ebolavirus</t>
  </si>
  <si>
    <t>10.1038/s41467-026-70464-6</t>
  </si>
  <si>
    <t>https://www.nature.com/ncomms/ https://ovidsp.ovid.com/ovidweb.cgi?T=JS&amp;PAGE=reference&amp;D=emexb&amp;NEWS=N&amp;AN=2045260309 http://CT4XW3QJ9Z.search.serialssolutions.com/?url_ver=Z39.88-2004&amp;rft_val_fmt=info:ofi/fmt:kev:mtx:journal&amp;rfr_id=info:sid/Ovid:emexb&amp;rft.genre=article&amp;rft_id=info:doi/10.1038%2Fs41467-026-70464-6&amp;rft_id=info:pmid/41839884&amp;rft.issn=2041-1723&amp;rft.volume=17&amp;rft.issue=1&amp;rft.spage=4040&amp;rft.pages=&amp;rft.date=2026&amp;rft.jtitle=Nature+Communications&amp;rft.atitle=A+highly+potent+nanobody-based+bispecific+therapeutic+provides+broad-spectrum+protection+against+ebolavirus&amp;rft.aulast=Wang</t>
  </si>
  <si>
    <t>Kusala.Pussegoda,kaitlin.young</t>
  </si>
  <si>
    <t>https://www.nature.com/articles/s41467-026-70464-6</t>
  </si>
  <si>
    <t>This study identified two camelid-derived nanobodies (1A10 and BA2) that neutralize EBOV, SUDV, and BDBV in vitro and protect female rodents against these pathogens. This positions their bispecific antibody as a strong broad-spectrum anti-ebolavirus candidate.</t>
  </si>
  <si>
    <t>THERAPEUTICS: Identified two camelid-derived nanobodies (1A10 and BA2) that protect female rodents against EBOV, SUDV, and BDBV. A bispecific antibody (BA2-1A10) via GS linker-mediated IgG-Fc fusion provided highly potent protection against all three viruses in female rodents model and positions it as a strong broad-spectrum anti-ebolavirus candidate.
PROETIN-INHIBITOR/BINDING INTERACTIONS: Identified two camelid-derived nanobodies (1A10 and BA2) that neutralize EBOV, SUDV, and BDBV in vitro. 1A10 and BA2 bind conserved but non-overlapping epitopes near the GP1 base and GP2’s internal fusion loop (IFL), and biochemical analyses revealed their distinct neutralization mechanisms.</t>
  </si>
  <si>
    <t>Researchers identified two camelid-derived nanobodies (1A10 and BA2) that neutralize Ebola virus, Sudan virus, and Bundibugyo virus in vitro and provide protection in rodent models, then used cryo-EM and biochemical analyses to determine how each antibody binds distinct conserved epitopes on the viral glycoprotein. Based on these structural insights, they engineered a bispecific antibody (BA2-1A10) using IgG-Fc fusion, and tested its protective efficacy in female rodents as a broad-spectrum therapeutic candidate.</t>
  </si>
  <si>
    <t>ZhouJ, et al, (2026), Emerging microbes &amp; infections</t>
  </si>
  <si>
    <t>Engineered Bispecific Antibodies Achieve Broad and Potent Protection Against Multiple Ebolavirus Species</t>
  </si>
  <si>
    <t>10.1080/22221751.2026.2668755</t>
  </si>
  <si>
    <t>https://ovidsp.ovid.com/ovidweb.cgi?T=JS&amp;PAGE=reference&amp;D=emexb&amp;NEWS=N&amp;AN=651099813 http://CT4XW3QJ9Z.search.serialssolutions.com/?url_ver=Z39.88-2004&amp;rft_val_fmt=info:ofi/fmt:kev:mtx:journal&amp;rfr_id=info:sid/Ovid:emexb&amp;rft.genre=article&amp;rft_id=info:doi/10.1080%2F22221751.2026.2668755&amp;rft_id=info:pmid/42080802&amp;rft.issn=2222-1751&amp;rft.volume=&amp;rft.issue=&amp;rft.spage=2668755&amp;rft.pages=2668755&amp;rft.date=2026&amp;rft.jtitle=Emerging+microbes+%26+infections&amp;rft.atitle=Engineered+Bispecific+Antibodies+Achieve+Broad+and+Potent+Protection+Against+Multiple+Ebolavirus+Species&amp;rft.aulast=Zhou</t>
  </si>
  <si>
    <t>https://www.tandfonline.com/doi/full/10.1080/22221751.2026.2668755</t>
  </si>
  <si>
    <t>Using both recombinant vesicular stomatitis virus expressing glycoproteins from Ebola virus, Sudan virus, and Bundibugyo virus (rVSV-EBOV/SUDV/BDBV) infection models and authentic mouse-adapted EBOV challenge systems, we demonstrate that these bispecific constructs not only retained the parental neutralization potency but also exhibited markedly enhanced cross-species protection.</t>
  </si>
  <si>
    <t>VACCINE DEVELOPMENT:
Engineered bispecific antibodies, particularly the IgG‑ScFv construct S1+5, markedly enhanced neutralization potency against Bundibugyo virus compared with the parental monoclonal antibodies. While one parental antibody showed almost no BDBV activity, the bispecific designs restored strong binding and reduced PRNT₅₀ values to the low‑nanogram range. In  mouse model, S1+5 provided 100% protection against lethal BDBV infection and prevented virus‑induced tissue damage. Additionally, S1+5 showed a high barrier to viral escape, maintaining activity across serial BDBV passaging where other antibodies lost effectiveness..</t>
  </si>
  <si>
    <t>In this study, we engineered three bsAb formats-CrossMab®, DVD-IgG, and IgG-ScFv-directed against distinct ebolavirus epitopes and systematically characterized their antiviral activities. Evaluated binding and neutralization against EBOV, SUDV, and BDBV using ELISA, recombinant VSV pseudovirus assays, and authentic virus plaque‑reduction neutralization tests. Finally, they assessed viral escape through serial passaging under antibody pressure and tested in vivo protection in IFNAR‑/‑ mice challenged with rVSV‑EBOV, rVSV‑SUDV, or rVSV‑BDBV.</t>
  </si>
  <si>
    <t>ZhangX, et al, (2026), Virologica Sinica</t>
  </si>
  <si>
    <t>Nanobody targeting glycan cap confers broad orthoebolavirus neutralization</t>
  </si>
  <si>
    <t>10.1016/j.virs.2026.03.018</t>
  </si>
  <si>
    <t>https://www.sciencedirect.com/science/journal/1995820X https://ovidsp.ovid.com/ovidweb.cgi?T=JS&amp;PAGE=reference&amp;D=emexb&amp;NEWS=N&amp;AN=2045434638 http://CT4XW3QJ9Z.search.serialssolutions.com/?url_ver=Z39.88-2004&amp;rft_val_fmt=info:ofi/fmt:kev:mtx:journal&amp;rfr_id=info:sid/Ovid:emexb&amp;rft.genre=article&amp;rft_id=info:doi/10.1016%2Fj.virs.2026.03.018&amp;rft_id=info:pmid/41962742&amp;rft.issn=1674-0769&amp;rft.volume=&amp;rft.issue=&amp;rft.spage=&amp;rft.pages=&amp;rft.date=2026&amp;rft.jtitle=Virologica+Sinica&amp;rft.atitle=Nanobody+targeting+glycan+cap+confers+broad+orthoebolavirus+neutralization&amp;rft.aulast=Zhang</t>
  </si>
  <si>
    <t>Identified a high-affinity nanobody, Bundibugyo virus (BDBV)-Nb02 that neutralizes both EBOV and BDBV with high potency and nanomolar affinity and further bivalent engineering enhances neutralization potency by up to 56-fold. Residues F248 and NP278/279 are critical for broad neutralization of Ebolaviruses.</t>
  </si>
  <si>
    <t>PROTEIN INHIBITOR/BINDING INTERACTIONS: Researchers identified a high-affinity nanobody (BDBV-Nb02) from a synthetic phage display library that targets the glycan cap of Bundibugyo virus glycoprotein and potently neutralizes both Bundibugyo and Ebola virus pseudoviruses. Engineering the nanobody into a bivalent format greatly improved neutralization potency by up to 56-fold, while structural analyses showed it targets a conserved glycan cleft, though Fc-fusion reduced its effectiveness by disrupting access to key epitopes.</t>
  </si>
  <si>
    <t>Screened a fully synthetic phage display library and identified a nanobody, BDBV-Nb02, which targets the glycan cap region of BDBV GP and characterized its binding kinetics and neutralization activity against EBOV and BDBV pseudoviruses, and demonstrated that a bivalent format markedly enhances its neutralizing potency. Using epitope competition assays, site-directed mutagenesis, and molecular docking analyses, further defined key residues involved in neutralization and elucidated the structural basis underlying its cross-reactive activity.</t>
  </si>
  <si>
    <t>KhanS, et al, (2026), Medicine in Omics</t>
  </si>
  <si>
    <t>Design of a novel multi-epitope-based vaccine against Bundibugyo Ebolavirus using computational approach</t>
  </si>
  <si>
    <t>10.1016/j.meomic.2025.100050</t>
  </si>
  <si>
    <t>https://www.sciencedirect.com/science/journal/25901249 https://ovidsp.ovid.com/ovidweb.cgi?T=JS&amp;PAGE=reference&amp;D=emexb&amp;NEWS=N&amp;AN=2044572429 http://CT4XW3QJ9Z.search.serialssolutions.com/?url_ver=Z39.88-2004&amp;rft_val_fmt=info:ofi/fmt:kev:mtx:journal&amp;rfr_id=info:sid/Ovid:emexb&amp;rft.genre=article&amp;rft_id=info:doi/10.1016%2Fj.meomic.2025.100050&amp;rft_id=info:pmid/&amp;rft.issn=2590-1249&amp;rft.volume=16&amp;rft.issue=&amp;rft.spage=100050&amp;rft.pages=&amp;rft.date=2026&amp;rft.jtitle=Medicine+in+Omics&amp;rft.atitle=Design+of+a+novel+multi-epitope-based+vaccine+against+Bundibugyo+Ebolavirus+using+computational+approach&amp;rft.aulast=Khan</t>
  </si>
  <si>
    <t>Kusala.Pussegoda,tricia.corrin</t>
  </si>
  <si>
    <t>https://www.sciencedirect.com/science/article/pii/S2590124925000100?via%3Dihub</t>
  </si>
  <si>
    <t>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t>
  </si>
  <si>
    <t>VACCINE DEVELOPMEMT:
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t>
  </si>
  <si>
    <t>T-cell (CTL and HTL) and linear B-cell epitopes from spike glycoprotein and nucleoprotein were identified and screened for antigenicity (VaxiJen score: 0.6488), allergenicity, and immunogenicity. Selected epitopes were combined into a vaccine construct with beta-defensin as an adjuvant. The vaccine exhibited favorable physicochemical properties and solubility (0.863482). Molecular docking and dynamics simulations revealed strong binding to TLR-3 (docking score: 354.13 kcal/mol). Codon optimization and in silico cloning suggested efficient expression in Escherichia coli.</t>
  </si>
  <si>
    <t>Lupascu, et al, (2026), Pharmaceutics</t>
  </si>
  <si>
    <t>Achievements and Challenges in Therapy and Vaccines Development of Viral Hemorrhagic Fevers: An Up-to-Date Review</t>
  </si>
  <si>
    <t>10.3390/pharmaceutics18040426</t>
  </si>
  <si>
    <t>http://europepmc.org/abstract/MED/42076078 https://doi.org/10.3390/pharmaceutics18040426 https://europepmc.org/articles/PMC13119275 https://europepmc.org/articles/PMC13119275?pdf=render</t>
  </si>
  <si>
    <t>https://www.mdpi.com/1999-4923/18/4/426</t>
  </si>
  <si>
    <t>Lit review</t>
  </si>
  <si>
    <t>Chung, et al, (2026), medRxiv</t>
  </si>
  <si>
    <t>Filovirus Evidence Maps: A community resource to identify and curate the published evidence on immunity and vaccination for BDBV, EBOV, MARV, and SUDV</t>
  </si>
  <si>
    <t>10.64898/2026.05.22.26353826</t>
  </si>
  <si>
    <t>http://europepmc.org/abstract/PPR/PPR1238522 https://doi.org/10.64898/2026.05.22.26353826</t>
  </si>
  <si>
    <t>https://www.medrxiv.org/content/10.64898/2026.05.22.26353826v1</t>
  </si>
  <si>
    <t>Yes</t>
  </si>
  <si>
    <t>Preprint</t>
  </si>
  <si>
    <t>Other evidence synthesis</t>
  </si>
  <si>
    <t>Developed evidence maps of existing filovirus publications on immunity and vaccination to enable further analysis and synthesis. 49 Bundibugyo (BDBV), 198 Marburg (MARV), 149 Sudan (SUDV) and 850 Ebola (EBOV) publications were included on each evidence map.</t>
  </si>
  <si>
    <t>IMMUNITY: Developed evidence maps of existing filovirus publications on immunity and vaccination to enable further analysis and synthesis. 49 Bundibugyo (BDBV), 198 Marburg (MARV), 149 Sudan (SUDV) and 850 Ebola (EBOV) publications were included on each evidence map. This provides a transparent and searchable framework to rapidly identify existing evidence and support future vaccine and immunity research for filoviruses.
OTHER VACCINE STUDIES - Adverse events: Publications measuring vaccine safety or other outcomes for each filovirus was captured.</t>
  </si>
  <si>
    <t>Researchers systematically searched PubMed, Embase, and Europe PMC (with updates through 2025–2026) to identify studies on immunology, clinical outcomes, infection responses, and vaccine safety for Bundibugyo virus, Marburg virus, Sudan virus, and Ebola virus. They then applied predefined inclusion and exclusion criteria to screen and categorize eligible studies, organizing the final set into structured “evidence maps” that summarize and classify the existing filovirus literature.</t>
  </si>
  <si>
    <t>A novel and efficient feature extraction algorithm using kmer-derived mutation signal</t>
  </si>
  <si>
    <t>https://europepmc.org/articles/PMC12988731?pdf=render https://europepmc.org/articles/PMC12988731 http://europepmc.org/abstract/PMC/PMC12988731 https://www.ncbi.nlm.nih.gov/pmc/articles/PMC12988731/pdf/?tool=EBI https://www.ncbi.nlm.nih.gov/pmc/articles/PMC12988731/?tool=EBI</t>
  </si>
  <si>
    <t>https://peerj.com/articles/20940/</t>
  </si>
  <si>
    <t>Identified a specific k-mer “anchor” sequence that appears exclusively in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t>
  </si>
  <si>
    <t>MUTATIONS:Identified a specific k-mer “anchor” sequence (notably CGCG) that appears exclusively in Bundibugyo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t>
  </si>
  <si>
    <t>The study developed a computational k-mer–based feature extraction algorithm that identifies biologically meaningful “anchor” sequences by analyzing reverse, complementary, and reverse-complementary k-mers to model mutation patterns across viral genomes, including Bundibugyo virus. It then quantified these anchors using a weighted interval entropy measure and evaluated the method.</t>
  </si>
  <si>
    <t>Sex Differences in Response to Viral Vector Vaccines-Implications for Future Vaccine Design</t>
  </si>
  <si>
    <t>10.1111/imr.70098</t>
  </si>
  <si>
    <t>http://europepmc.org/abstract/MED/41612856 https://doi.org/10.1111/imr.70098 https://europepmc.org/articles/PMC12856389 https://europepmc.org/articles/PMC12856389?pdf=render</t>
  </si>
  <si>
    <t>https://onlinelibrary.wiley.com/doi/10.1111/imr.70098</t>
  </si>
  <si>
    <t>Kim, et al, (2025), Advances in Virus Research</t>
  </si>
  <si>
    <t>Swine model of Bundibugyo and Reston virus infection reveals a robust immune response following the infection: A multi-tissue immune profiling study</t>
  </si>
  <si>
    <t>10.1016/bs.aivir.2025.03.002</t>
  </si>
  <si>
    <t>https://www.scopus.com/pages/publications/105001931056?origin=resultslist</t>
  </si>
  <si>
    <t>https://www.sciencedirect.com/science/chapter/bookseries/pii/S0065352725000028?via%3Dihub#sec0050</t>
  </si>
  <si>
    <t>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t>
  </si>
  <si>
    <t>INFECTION IMMUNITY - Measures of protective immunity (antibodies/titres/cytokines): 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t>
  </si>
  <si>
    <t>Using a time-course study design, collected tissue and blood samples from infected pigs to investigate the immunological changes following Orthoebolavirus bundibugyoense and Orthoebolavirus restonense infection, focusing on key immune gene expressions in blood, lung, and transbronchial lymph nodes</t>
  </si>
  <si>
    <t>Mdluli, et al, (2025), Science Translational Medicine</t>
  </si>
  <si>
    <t>Ebola virus vaccination elicits Ebola virus–specific immune responses without substantial cross-reactivity to other filoviruses</t>
  </si>
  <si>
    <t>10.1126/scitranslmed.adq2496</t>
  </si>
  <si>
    <t>https://www.scopus.com/pages/publications/105002033181?origin=resultslist</t>
  </si>
  <si>
    <t>https://www.science.org/doi/10.1126/scitranslmed.adq2496</t>
  </si>
  <si>
    <t>The study evaluated immune responses to the Janssen heterologous Ebola vaccine regimen (Ad26.ZEBOV prime and MVA-BN-Filo boost) and found it induced strong EBOV glycoprotein-specific antibody and CD4 T cell responses, including binding, Fc effector, and neutralizing activity. In contrast, analysis of survivors and contacts from a Bundibugyo virus outbreak showed minimal cross-reactivity to other filoviruses, indicating that broader multivalent vaccines are needed for cross-filovirus protection.</t>
  </si>
  <si>
    <t>INFECTION IMMUNITY - Measures of protective immunity (antibodies/titres/cytokines): Analysis of survivors and contacts from a Bundibugyo virus outbreak showed minimal cross-reactivity to other filoviruses, indicating that broader multivalent vaccines are needed for cross-filovirus protection.
VACCINE IMMUNITY- Measures of protective immunity (antibodies/titres/cytokines): The study evaluated immune responses to the Janssen heterologous Ebola vaccine regimen (Ad26.ZEBOV prime and MVA-BN-Filo boost) and found it induced strong EBOV glycoprotein-specific antibody and CD4 T cell responses, including binding, Fc effector, and neutralizing activity.</t>
  </si>
  <si>
    <t>Conducted a systems immunology analysis of antibody-mediated and cellular immune responses induced after  immunization with Janssen heterologous Ebola vaccine regimen (Ad26.ZEBOV prime and MVA-BN-Filo boost). Also investigated samples from 48 survivors and 121 contacts from the 2007 Ugandan Bundibugyo virus epidemic to study cross-reactivity to other filovirus proteins after infection and exposure.</t>
  </si>
  <si>
    <t>Huang, et al, (2025), Autophagy</t>
  </si>
  <si>
    <t>Dual roles of CXCR4 (C-X-C motif chemokine receptor 4) in promoting entry of ebolavirus and targeting excessive glycoprotein for reticulophagic degradation to facilitate viral fitness</t>
  </si>
  <si>
    <t>10.1080/15548627.2025.2492877</t>
  </si>
  <si>
    <t>https://www.scopus.com/pages/publications/105003121633?origin=resultslist</t>
  </si>
  <si>
    <t>https://www.tandfonline.com/doi/full/10.1080/15548627.2025.2492877#d1e1403</t>
  </si>
  <si>
    <t>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t>
  </si>
  <si>
    <t>PROTEIN-INHIBITOR/BINDING INTERACTIONS: 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t>
  </si>
  <si>
    <t>Conducted in vitro studies using plasmid construction and transfected cell lines to evaluate viral attachment and entry of CXCR4 (C-X-C motif chemokine receptor 4).</t>
  </si>
  <si>
    <t>Haase, et al, (2025), Advances in Virus Research</t>
  </si>
  <si>
    <t>Molecular virulence determinants of human-pathogenic filoviruses</t>
  </si>
  <si>
    <t>10.1016/bs.aivir.2025.03.003</t>
  </si>
  <si>
    <t>https://www.scopus.com/pages/publications/105001863475?origin=resultslist</t>
  </si>
  <si>
    <t>https://www.sciencedirect.com/science/chapter/bookseries/pii/S006535272500003X?via%3Dihub</t>
  </si>
  <si>
    <t>Koshlan, et al, (2025), Biophysica</t>
  </si>
  <si>
    <t>Identifying Viral Protein Interactions’ Order During Replication and Transcription Processes</t>
  </si>
  <si>
    <t>10.3390/biophysica5020011</t>
  </si>
  <si>
    <t>https://www.scopus.com/pages/publications/105009313197?origin=resultslist</t>
  </si>
  <si>
    <t>Miriam.Samuel,Kusala.Pussegoda</t>
  </si>
  <si>
    <t>https://www.mdpi.com/2673-4125/5/2/11</t>
  </si>
  <si>
    <t>This study found that the complex MJ20, a pan-specific synthetic FAB binds strongly with the NP-C terminal domain of multiple Ebola strains including the Bundibugyo strain.</t>
  </si>
  <si>
    <t>PROTEIN-INHIBTIOR/BINDING INTERACTIONS:
This study found that the complex MJ20, a pan-specific synthetic FAB binds strongly with the NP-C terminal domain of multiple Ebola strains including the Bundibugyo strain. The spatially studied system included the crystal structure of the complex of MJ20 with the antigen from the Bundibugyo strain of Ebola virus. The study highlights the complex and multifaceted relationships between calculated and experimental parameters for the binding of Fab branches to the Ebola (Bundibugyo) protein.</t>
  </si>
  <si>
    <t>We conducted a study of the co-direction of changes in thermodynamic quantities  during the transition from a monomer to a dimer and then to a trimer and tetramer. In this work, we assume that the co-direction of changes in thermodynamic quantities as the final molecular formation being achieved signals a higher affinity of molecules among themselves than there is for a biochemical formation, which is characterized by the lack of coordination of the biochemical pathway directions of the final molecular compound. As the studied molecular complexes, we took [LGP2-8dsRNA-LGP2], [VP35]2-dsRNA-[VP35]2, and MARV NPcore proteins with peptides and the complex of MJ20 with antigens from the Bundibugyo strain of Ebola virus.</t>
  </si>
  <si>
    <t>Paasi, et al, (2025), Journal of Epidemiology and Global Health</t>
  </si>
  <si>
    <t>The Impact of Diagnostic Delays and Timeliness of Response on Ebola Disease outbreak-level case-fatality Ratios in Uganda (2000–2023): a Rapid Systematic Review and meta-analysis</t>
  </si>
  <si>
    <t>10.1007/s44197-025-00471-1</t>
  </si>
  <si>
    <t>https://www.scopus.com/pages/publications/105021459599?origin=resultslist</t>
  </si>
  <si>
    <t>https://link.springer.com/article/10.1007/s44197-025-00471-1</t>
  </si>
  <si>
    <t>Rapid  Review</t>
  </si>
  <si>
    <t>This rapid review and meta-analysis aimed to quantify the effect of diagnostic and response delays on outbreak-level mortality for Ebola virus disease (EBOD) in Uganda (2000-2022).  By species, Sudan ebolavirus outbreaks (n = 5) had a CFR of 44.6% (95% CI: 33.7%–55.6%), Bundibugyo ebolavirus (n = 1) 24.8% (95% CI: 18.2%–32.1%), and Zaire ebolavirus (n = 1) 100% (95% CI: 61.2%–100.0%).</t>
  </si>
  <si>
    <t>EPIDEMIOLOIGCAL PARAMETER OTHER:
In the subsequent Bundibugyo 2007 epidemic, Ministry of Health operations including rapid case notification and mobilization of contact‐tracing teams achieved a mean interval of three days from index case report to completion of contact line‐listing.
MORTALITY:
CFR for Bundibugyo ebolavirus (n = 1) 24.8% (95% CI: 18.2%–32.1%) which was lower than Zaire ebolavirus (100% CFR) and Sudan  (44.6% CFR).
RISK FACTORS- MORTALITY:
Bundibugyo ebolavirus patients and found that haemorrhagic manifestations were significantly more common in those who died (Fisher’s exact p = 0.05) and that each additional clinically observed symptom increased the odds of death by ~ 31% (OR 1.31; 95% CI 1.04–1.82) .</t>
  </si>
  <si>
    <t>We searched PubMed, Embase, Scopus, Web of Science, WHO Global Index Medicus, and grey literature through 30 April 2025. Eligible reports described laboratory-confirmed human EBOD in Uganda (2000–2022) and reported case counts, deaths, or quantitative timeliness metrics. Outbreak-level CFRs were meta-analyzed using random-effects models with Freeman–Tukey transformation (metafor package in R). Mixed-effects meta-regression assessed the association between continuous delay metrics and transformed CFR.
 We synthesized data from 15 studies covering seven laboratory-confirmed Ebola outbreaks in Uganda (2000–2022) (Table 2), comprising four Sudan ebolavirus waves (Gulu 2000; Luwero 2011; Kibaale 2012; Luwero hospital 2012), one Bundibugyo ebolavirus wave (Bundibugyo 2007), and two Zaire ebolavirus importations (Kasese 2019 and 2020).</t>
  </si>
  <si>
    <t>Ugwu, et al, (2025), Viral Hemorrhagic Fevers: Epidemiology, Pathogenesis, Management, and Preparedness</t>
  </si>
  <si>
    <t>Molecular pathogenesis—Part B</t>
  </si>
  <si>
    <t>10.1016/B978-0-443-13833-1.00016-8</t>
  </si>
  <si>
    <t>https://www.scopus.com/pages/publications/105027221974?origin=resultslist</t>
  </si>
  <si>
    <t>https://linkinghub.elsevier.com/retrieve/pii/B9780443138331000168</t>
  </si>
  <si>
    <t>Phelan, et al, (2026), Lancet (London, England)</t>
  </si>
  <si>
    <t>The PHEIC for Ebola disease caused by Bundibugyo virus: an inflection point for solidarity and health equity</t>
  </si>
  <si>
    <t>10.1016/s0140-6736(26)01037-8</t>
  </si>
  <si>
    <t>http://europepmc.org/abstract/MED/42184811 https://doi.org/10.1016/S0140-6736(26)01037-8</t>
  </si>
  <si>
    <t>https://www.sciencedirect.com/science/article/pii/S0140673626010378?via%3Dihub</t>
  </si>
  <si>
    <t>Commentary</t>
  </si>
  <si>
    <t>Key facts about the Bundibugyo virus outbreak</t>
  </si>
  <si>
    <t>10.1016/s1473-3099(26)00293-8</t>
  </si>
  <si>
    <t>http://europepmc.org/abstract/MED/42202847 https://doi.org/10.1016/S1473-3099(26)00293-8</t>
  </si>
  <si>
    <t>https://www.sciencedirect.com/science/article/pii/S1473309926002938?via%3Dihub</t>
  </si>
  <si>
    <t>Bundibugyo Ebola: why preparedness still fails at the point of detection</t>
  </si>
  <si>
    <t>10.1016/s1473-3099(26)00286-0</t>
  </si>
  <si>
    <t>http://europepmc.org/abstract/MED/42190675 https://doi.org/10.1016/S1473-3099(26)00286-0</t>
  </si>
  <si>
    <t>kaitlin.young</t>
  </si>
  <si>
    <t>https://www.sciencedirect.com/science/article/pii/S1473309926002860?via%3Dihub</t>
  </si>
  <si>
    <t>WHO emergency guidance on the use of licensed Ebola virus vaccine during Bundibugyo virus disease outbreaks, 28 May 2026</t>
  </si>
  <si>
    <t>https://iris.who.int/items/b0d99425-40f1-4635-80ba-fa7bdc849a5d</t>
  </si>
  <si>
    <t>Government report</t>
  </si>
  <si>
    <t>Guideline</t>
  </si>
  <si>
    <t>WHO recommends that Ervebo® should not be used programmatically in response to BDBV outbreaks outside controlled research settings. The document emphasizes that outbreak control should continue to rely on established public health measures, including surveillance, contact tracing, clinical management, infection prevention and control, and community engagement, while calling for accelerated development and evaluation of BDBV-specific and broadly protective filovirus vaccines.</t>
  </si>
  <si>
    <t>Implementation of border health and international travel-related temporary recommendations issued by the Director-General of WHO to States Parties not sharing land borders with areas with documented Bundibugyo virus detection: technical note, 26 May 2026</t>
  </si>
  <si>
    <t>https://doi.org/10.2471/B09769</t>
  </si>
  <si>
    <t>https://iris.who.int/handle/10665/386241</t>
  </si>
  <si>
    <t>https://iris.who.int/items/b07def43-df30-41b8-83e0-deb33bcfd697</t>
  </si>
  <si>
    <t>This WHO technical note provides operational guidance for States Parties without shared land borders to implement temporary travel-related recommendations following the Bundibugyo virus epidemic declaration as a Public Health Emergency of International Concern. It outlines preparedness measures for points of entry, including travel advice, contingency planning, infection control, and coordination between health and transport sectors, while addressing the epidemiological context, transmission modes, and current lack of licensed vaccines or therapeutics for BDBV.</t>
  </si>
  <si>
    <t>WHO Technical Advisory Group on therapeutics prioritization for Bundibugyo virus disease: meeting report, 20 and 26 May 2026</t>
  </si>
  <si>
    <t>https://doi.org/10.2471/B09767</t>
  </si>
  <si>
    <t>https://iris.who.int/handle/10665/386251</t>
  </si>
  <si>
    <t>https://iris.who.int/items/f09ea396-a01c-4ff1-8026-846066529b1f</t>
  </si>
  <si>
    <t>Other non-primary</t>
  </si>
  <si>
    <t>WHO Technical Advisory Group on candidate vaccine prioritization: meeting report, 19 and 25 May 2026</t>
  </si>
  <si>
    <t>https://doi.org/10.2471/B09771</t>
  </si>
  <si>
    <t>https://iris.who.int/handle/10665/386256</t>
  </si>
  <si>
    <t>https://iris.who.int/items/31354c87-1f44-4614-b883-9e46ecd647ae</t>
  </si>
  <si>
    <t>Rapid risk assessment: Ebola disease caused by Bundibugyo virus in the Democratic Republic of the Congo and Uganda</t>
  </si>
  <si>
    <t>https://www.canada.ca/en/public-health/services/emergency-preparedness-response/rapid-risk-assessments-public-health-professionals/ebola-disease-bundibugyo-virus-democratic-republic-congo-uganda.html</t>
  </si>
  <si>
    <t>The overall risk level to the Canadian population of acquiring Bundibugyo virus from the ongoing outbreak in the DRC and Uganda is currently low (moderate uncertainty). 
The likelihood of importation of Bundibugyo virus into Canada in the next two weeks is low (moderate uncertainty), given the low travel volume between currently affected regions and Canada, and existing travel advisories that recommend against all travel to the outbreak-affected areas in the DRC due to ongoing safety and security concerns. The impact on an affected individual is estimated to be severe (low uncertainty), given the serious clinical manifestations of BVD, its high case fatality rate and lack of approved vaccines or antivirals.
If importation into Canada were to occur, the impact of BVD on the general population in Canada would be minor (low uncertainty), due to the limited number of secondary cases anticipated among close contacts, strong diagnostic and health system capacity, and existing protocols for outbreak response, case and contact management and infection prevention and control.</t>
  </si>
  <si>
    <t>Evidence Map: Ebola (Bundibugyo): Consolidating and summarising available evidence to support the demonstration of effectiveness of developmental vaccines.</t>
  </si>
  <si>
    <t>https://livingevidence.org.au/research-initiatives/about-feeva/evidence-maps/</t>
  </si>
  <si>
    <t>The Australian Living Evidence Collaboration developed an on-going evidence map that  aims to provide a consolidation and summary of the available evidence to support demonstration of effectiveness of developmental vaccines for protection against priority pathogens. Key foci include clinical symptomology (acute and long-term sequalae), risk factors for severity. diagnostic tools. Details of all studies are mapped.</t>
  </si>
  <si>
    <t>* only key studies in humans are extracted below. Details available for human, non-human primates and animal models: 
CLINICAL DATA- ACUTE- SEQUELAE:
Survivors of BDBV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
CLINICAL DATA - LONG-TERM SEQUELAE:
Survivors of the Bundibugyo Ebola virus were at significantly increased risk of ocular deficits (retro-orbital pain [RR 4·3, 95% CI 1·9-9·6; p&lt;0·0001], blurred vision [1·9, 1·1-3·2; p=0·018]), hearing loss (2·3, 1·2-4·5; p=0·010), difficulty swallowing (2·1, 1·1-3·9; p=0·017), difficulty sleeping (1·9, 1·3-2·8; p=0·001), arthralgias (2·0, 1·1-3·6; p=0·020), and various constitutional symptoms controlling for age and sex. Chronic health problems (prevalence ratio [PR] 2·1, 95% CI 1·2-3·6; p=0·008) and limitations due to memory loss or confusion (PR 5·8, 1·5-22·4; p=0·010) were also reported more frequently by survivors of Bundibugyo Ebola virus.
RISK FACTORS- MORTALITY:
Correlation between fatal infection and immune response in BDBV in 44 patient sample found that fatal infection was associated with high levels of viral antigen, low levels of pro-inflammatory cytokines, such as IL-1α, IL-1β, IL-6, TNF-α, and high levels of immunosuppressor cytokines like IL-10. 
IMMUNITY:
Neutralization of antibodies and immune response is categorized and mapped for both previous infection and vaccination from Ebola virus vaccine. 
DIAGNOSTIC TEST ACCRUARY:
Evidence gap map breaks out the different assays used for infection and outcome. Specifically, ELISA, Microneutralization, FRNT/PRNT, Live virus, pseudovirus, Other neutralising assay, ELISPOT, Intracellular cytokine staining, other Tcell assays.</t>
  </si>
  <si>
    <t>An Evidence (gap) Map is a systematic evidence curation tool that displays all the available evidence relevant to a specific research question or topic of interest as a matrix. Bundibugyo virus map 18 May 2026 and end date search 29 May 2026 with consistent updates. 
Questions: What tools and evidence exist, and where are the evidence gaps, in measures of immune response and immunity for MARV, SUDV and EBOV?*  What is an appropriate typology/framework for comprehensive classification of tools and evidence in preclinical vaccine assessment?
The study will address this question by identifying and organising the evidence across the following domains for all pathogens:
-Immunoassay landscape 
-Immune responses and immune protection following infection and vaccination 
-Animal models developed for use in testing vaccine and mAbs candidates 
-Safety, immunogenicity and efficacy data from animal challenge studies
-Clinical safety and immunogenicity data following administration of vaccine and mAbs candidates
PubMed, Embase, Europe PMC.
For Mpox, Lassa and Bundibugyo PubMed and Embase were searched. Europe PMC was not searched in the living update as later pathogens as the initial maps indicated Embase now extensively covers all the major preprint servers
Inclusion criteria (sample provided for MARV) in PICO framework. 
Population
-animal (any)
-human
-serum from animal or human
Intervention/Exposure
-vaccines
-monoclonal antibodies (mAbs)
-natural infection
-infection challenge/lethal challenge
Comparator
-unvaccinated
-untreated
-uninfected
Outcome
-Binding antibodies: binding ELISA, binding-ELISA OD, binding-ELISA endpoint, binding mean fluorescence intensity (MFI), Western Blot
-Neutralising antibodies: Neutralisation – PRNT/FRNT, Microneutralisation, pseudo and live virus
-T cell: T cell ELISPOT, T cell ICS, T cell IGRS, T cell other, CD4, CD8
-B cell
-Viral level: viremia, viral load
-Other infection outcome: hospitalisation, ICU admission, ventilator, relevant other
-survival/death
-safety: adverse effects
Study characteristics:
Include: 
-Marburg virus study
-Assays for detection of antibodies in animal or human sera
-Systematic reviews
Exclude
-Other filovirus studies (Ebola, Ravn, Sudan, Mengla virus)
-Optimising diagnostic assays for detection of viral load
-antiviral drugs
-In vitro assays testing drugs/small molecules
-Characterisation of monoclonal antibodies
Prevalence/epidemiological studies
Modelling studies
Case-studies
Cost-effectiveness studies
Reviews
Editorials, perspectives, commentary
Book chapter
News article
Conference abstracts or dissertations
Other criteria: studies must be available in Englis</t>
  </si>
  <si>
    <t>First meeting of the IHR Emergency Committee regarding the epidemic of Ebola Bundibugyo virus disease in the Democratic Republic of the Congo and Uganda 2026 – Temporary recommendations</t>
  </si>
  <si>
    <t>https://www.who.int/news/item/22-05-2026-first-meeting-of-the-ihr-emergency-committee-regarding-the-epidemic-of-ebola-bundibugyo-virus-disease-in-the-democratic-republic-of-the-congo-and-uganda-2026-temporary-recommendations</t>
  </si>
  <si>
    <t>Threat assessment brief: Ebola disease outbreak caused by Bundibugyo virus – Democratic Republic of the Congo and Uganda – 2026</t>
  </si>
  <si>
    <t>https://www.ecdc.europa.eu/en/publications-data/threat-assessment-brief-ebola-disease-outbreak-caused-bundibugyo-virus-democratic</t>
  </si>
  <si>
    <t>The likelihood of secondary transmission of BDBV within the EU/EEA and the occurrence of sustained chains of transmission within the EU/EEA is considered very low, as cases are likely to be promptly identified and isolated and recommended control measures would be implemented. Although BDBV infection can cause severe disease in affected individuals, the population-level public health impact in the EU/EEA is expected to be very low because only very few cases would occur. Therefore, the overall current risk of BDBV for the general population in the EU/EEA is assessed to be very low.
Recommendations for standard operating procedures on isolation are also provided.</t>
  </si>
  <si>
    <t>Epidemiological Alert - Ebola Disease due to Bundibugyo virus in the Democratic Republic of the Congo and Uganda - 21 May 2026</t>
  </si>
  <si>
    <t>https://www.paho.org/en/documents/epidemiological-alert-ebola-disease-due-bundibugyo-virus-democratic-republic-congo-and</t>
  </si>
  <si>
    <t>The purpose of this Epidemiological Alert is to provide Member States with updated guidance on laboratory diagnosis, infection prevention and control (IPC), and clinical management in the context of the Ebola situation in the Democratic Republic of the Congo and Uganda.</t>
  </si>
  <si>
    <t>Public Health Emergency of International Concern (PHEIC) related to Bundibugyo virus disease in the Democratic Republic of the Congo and Uganda. Implications for the Americas Region - 17 May 2026</t>
  </si>
  <si>
    <t>https://www.paho.org/en/documents/public-health-emergency-international-concern-pheic-related-bundibugyo-virus-disease</t>
  </si>
  <si>
    <t>PAHO also recommends that Member States strengthen surveillance for the early detection of suspected cases, especially in people with a history of travel or exposure in affected or at-risk areas. It is recommended to reinforce infection, prevention and control measures in health care settings, including triage, isolation, proper use of personal protective equipment (PPE), training of health care personnel, safe waste-management, environmental cleaning and disinfection, and monitoring of occupational exposures.  It is recommended to strengthen risk communication and community engagement, with clear messages on signs and symptoms, seeking preemptive care, prevention of exposure to bodily fluids, and safe and dignified burial practices.</t>
  </si>
  <si>
    <t>Viral Hemorrhagic Fever (VHF) Viruses (e.g. Ebola, Marburg, Lassa, Crimean-Congo) – PCR</t>
  </si>
  <si>
    <t>https://www.publichealthontario.ca/en/Laboratory-Services/Test-Information-Index/VHF-Diagnostic-Serology</t>
  </si>
  <si>
    <t>This page details laboratory procedures for testing high-risk Viral Hemorrhagic Fever (VHF) viruses, including Orthoebolaviruses (Bundibugyo virus, Ebola virus, and Sudan virus), with strict adherence to federal regulations and safety protocols. It emphasizes the need for clinical risk assessment, consultation with health authorities, and the use of specific diagnostic methods like RT-PCR to ensure accurate identification and reporting of VHF cases..</t>
  </si>
  <si>
    <t>WHO guidance for mass gathering events attended by individuals from areas with documented Bundibugyo virus detection, May 2026</t>
  </si>
  <si>
    <t>rg/10.2471/B09770.</t>
  </si>
  <si>
    <t>https://iris.who.int/handle/10665/386258</t>
  </si>
  <si>
    <t>The guidance outlines key preparedness and response actions for organizers and public health authorities before, during, and after mass gatherings. It highlights the need for thorough risk assessment, surveillance, screening, laboratory confirmation, isolation procedures, and coordinated actions under the International Health Regulations (2005). It also provides operational recommendations on communication, participant information, cross‑border collaboration, and post‑event evaluation to manage health risks during BVD outbreaks.</t>
  </si>
  <si>
    <t>Haider, et al, (2026), International journal of infectious diseases : IJID : official publication of the International Society for Infectious Diseases</t>
  </si>
  <si>
    <t>Beyond past Ebola outbreaks: delayed detection, preparedness gaps, and the vaccine race during the 2026 Bundibugyo virus outbreak</t>
  </si>
  <si>
    <t>10.1016/j.ijid.2026.108843</t>
  </si>
  <si>
    <t>http://europepmc.org/abstract/MED/42217747 https://doi.org/10.1016/j.ijid.2026.108843</t>
  </si>
  <si>
    <t>https://www.sciencedirect.com/science/article/pii/S1201971226004789?via%3Dihub</t>
  </si>
  <si>
    <t>Mwamba, et al, (2026), Lancet (London, England)</t>
  </si>
  <si>
    <t>Bundibugyo virus disease outbreak in Ituri, Democratic Republic of the Congo</t>
  </si>
  <si>
    <t>10.1016/s0140-6736(26)01072-x</t>
  </si>
  <si>
    <t>http://europepmc.org/abstract/MED/42214396 https://doi.org/10.1016/S0140-6736(26)01072-X</t>
  </si>
  <si>
    <t>https://www.sciencedirect.com/science/article/pii/S014067362601072X?via%3Dihub</t>
  </si>
  <si>
    <t>Primary - short communication</t>
  </si>
  <si>
    <t>As of May 21, 2026, the Democratic Republic of the Congo National Public Health Institute reported 82 laboratory-confirmed cases, of which seven led to death; 668 suspected cases, of which 171 led to death, were under investigation for final classification. In total, 750 confirmed or suspected cases, of which 178 resulted in death, have been reported, leading to a 23·7% crude case-fatality rate.</t>
  </si>
  <si>
    <t>EPIDEMIOLOGICAL PARAMETER - Incidence/prevalence of disease: As of May 21, 2026, the Democratic Republic of the Congo National Public Health Institute reported 82 laboratory-confirmed cases, of which seven led to death; 668 suspected cases, of which 171 led to death, were under investigation for final classification. 
CLINICAL DATA - Mortality: In total, 750 confirmed or suspected cases, of which 178 resulted in death, have been reported, leading to a 23·7% crude case-fatality rate.</t>
  </si>
  <si>
    <t>This correspondence provides an update by the Democratic Republic of the Congo National Public Health Institute on the epidemiological situation of the Bundibugyo virus disease outbreak. They also provide a link to updated summary data on the outbreak  (https://insp.cd/sitrep-mve-n-010-2026/)</t>
  </si>
  <si>
    <t>Risk assessment guidelines for infectious diseases transmitted on aircraft (RAGIDA) – Ebola disease update</t>
  </si>
  <si>
    <t>https://www.ecdc.europa.eu/en/publications-data/risk-assessment-guidelines-infectious-diseases-transmitted-aircraft-ragida-ebola</t>
  </si>
  <si>
    <t>This updated information is intended to support public health authorities and other competent national authorities in European Union/European Economic Area countries by providing actions to consider after the identification of a suspected or confirmed Ebola disease case during or after a flight.</t>
  </si>
  <si>
    <t>Gupta, et al, (2026), Clinical Microbiology &amp; Infection</t>
  </si>
  <si>
    <t>Bundibugyo ebolavirus outbreak in the Democratic Republic of the Congo and Uganda: rapid assessment from the ESCMID Emerging Infections Subcommittee</t>
  </si>
  <si>
    <t>10.1016/j.cmi.2026.05.042</t>
  </si>
  <si>
    <t>https://ovidsp.ovid.com/ovidweb.cgi?T=JS&amp;PAGE=reference&amp;D=medp&amp;NEWS=N&amp;AN=42219033 http://CT4XW3QJ9Z.search.serialssolutions.com/?url_ver=Z39.88-2004&amp;rft_val_fmt=info:ofi/fmt:kev:mtx:journal&amp;rfr_id=info:sid/Ovid:medp&amp;rft.genre=article&amp;rft_id=info:doi/10.1016%2Fj.cmi.2026.05.042&amp;rft_id=info:pmid/42219033&amp;rft.issn=1198-743X&amp;rft.volume=&amp;rft.issue=&amp;rft.spage=&amp;rft.pages=&amp;rft.date=2026&amp;rft.jtitle=Clinical+Microbiology+%26+Infection&amp;rft.atitle=Bundibugyo+ebolavirus+outbreak+in+the+Democratic+Republic+of+the+Congo+and+Uganda%3A+rapid+assessment+from+the+ESCMID+Emerging+Infections+Subcommittee.&amp;rft.aulast=Gupta</t>
  </si>
  <si>
    <t>https://www.sciencedirect.com/science/article/pii/S1198743X26002855?via%3Dihub</t>
  </si>
  <si>
    <t>Schweitzer, et al, (2026), JAMA</t>
  </si>
  <si>
    <t>A Rare Ebola Virus Is Spreading in the DRC-Here's What to Know</t>
  </si>
  <si>
    <t>10.1001/jama.2026.10042</t>
  </si>
  <si>
    <t>https://ovidsp.ovid.com/ovidweb.cgi?T=JS&amp;PAGE=reference&amp;D=medp&amp;NEWS=N&amp;AN=42213453 http://CT4XW3QJ9Z.search.serialssolutions.com/?url_ver=Z39.88-2004&amp;rft_val_fmt=info:ofi/fmt:kev:mtx:journal&amp;rfr_id=info:sid/Ovid:medp&amp;rft.genre=article&amp;rft_id=info:doi/10.1001%2Fjama.2026.10042&amp;rft_id=info:pmid/42213453&amp;rft.issn=0098-7484&amp;rft.volume=&amp;rft.issue=&amp;rft.spage=&amp;rft.pages=&amp;rft.date=2026&amp;rft.jtitle=JAMA&amp;rft.atitle=A+Rare+Ebola+Virus+Is+Spreading+in+the+DRC-Here%27s+What+to+Know.&amp;rft.aulast=Schweitzer</t>
  </si>
  <si>
    <t>https://jamanetwork.com/journals/jama/fullarticle/2849867</t>
  </si>
  <si>
    <t>, (2026), Nature Communications</t>
  </si>
  <si>
    <t>The current Ebola outbreak is a public health emergency of international concern</t>
  </si>
  <si>
    <t>10.1038/s41467-026-73746-1</t>
  </si>
  <si>
    <t>https://www.nature.com/ncomms/ https://ovidsp.ovid.com/ovidweb.cgi?T=JS&amp;PAGE=reference&amp;D=emedx&amp;NEWS=N&amp;AN=2045704755 http://CT4XW3QJ9Z.search.serialssolutions.com/?url_ver=Z39.88-2004&amp;rft_val_fmt=info:ofi/fmt:kev:mtx:journal&amp;rfr_id=info:sid/Ovid:emedx&amp;rft.genre=article&amp;rft_id=info:doi/10.1038%2Fs41467-026-73746-1&amp;rft_id=info:pmid/&amp;rft.issn=2041-1723&amp;rft.volume=17&amp;rft.issue=1&amp;rft.spage=4603&amp;rft.pages=&amp;rft.date=2026&amp;rft.jtitle=Nature+Communications&amp;rft.atitle=The+current+Ebola+outbreak+is+a+public+health+emergency+of+international+concern&amp;rft.aulast=</t>
  </si>
  <si>
    <t>https://www.nature.com/articles/s41467-026-73746-1</t>
  </si>
  <si>
    <t>Ebola disease outbreak in the Democratic Republic of the Congo and Uganda (Bundibugyo virus)</t>
  </si>
  <si>
    <t>https://www.gov.uk/guidance/ebola-disease-outbreak-in-the-democratic-republic-of-the-congo-and-uganda-bundibugyo-virus</t>
  </si>
  <si>
    <t>This is an urgent public health message to all National Health Services (NHS) and independent healthcare providers regarding the current Ebola disease outbreak in the DRC and Uganda. This publication includes guidelines for NHS and other healthcare providers, clinical assessment and primary care.</t>
  </si>
  <si>
    <t>Baraniuk, et al, (2026), BMJ (Clinical research ed.)</t>
  </si>
  <si>
    <t>Ebola: Three vaccines rushed into development for Bundibugyo outbreak</t>
  </si>
  <si>
    <t>10.1136/bmj-2026-557985</t>
  </si>
  <si>
    <t>http://europepmc.org/abstract/MED/42229937 https://doi.org/10.1136/bmj-2026-557985</t>
  </si>
  <si>
    <t>https://doi.org/10.1136/bmj-2026-557985</t>
  </si>
  <si>
    <t>Karim, et al, (2026), Lancet (London, England)</t>
  </si>
  <si>
    <t>Urgent need for a reliable rapid diagnostic test for the Ebola epidemic caused by Bundibugyo virus in Africa</t>
  </si>
  <si>
    <t>10.1016/s0140-6736(26)01093-7</t>
  </si>
  <si>
    <t>http://europepmc.org/abstract/MED/42229490 https://doi.org/10.1016/S0140-6736(26)01093-7</t>
  </si>
  <si>
    <t>https://doi.org/10.1016/s0140-6736(26)01093-7</t>
  </si>
  <si>
    <t>Ferrara, et al, (2026), Research Square</t>
  </si>
  <si>
    <t>Interpretable Ensemble Learning for the Determinants of Ebola Outbreak Case-Fatality: A Half-Century Analysis of Orthoebolavirus Events, 1976-2026</t>
  </si>
  <si>
    <t>10.21203/rs.3.rs-9880357/v1</t>
  </si>
  <si>
    <t>http://europepmc.org/abstract/PPR/PPR1244031 https://doi.org/10.21203/rs.3.rs-9880357/v1</t>
  </si>
  <si>
    <t>https://doi.org/10.21203/rs.3.rs-9880357/v1</t>
  </si>
  <si>
    <t>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t>
  </si>
  <si>
    <t>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 Read against the 2026 Bundibugyo emergency, the results locate the current outbreak at the low-lethality end of the species spectrum while underlining that lower lethality, late species confirmation and the absence of a species-matched vaccine combine into a configuration in which scale, rather than per-case fatality, is the quantity to watch.</t>
  </si>
  <si>
    <t>The study uses interpretable ensemble learning (gradient boosting, random forest, elastic-net regression) with leave-one-out cross-validation to analyze Ebola outbreak CFRs from 1976–2026. It identifies viral species and outbreak scale as key predictors, supported by Shapley additive explanations (SHAP) values for feature attribution. The analysis focuses on outbreak-level data from CDC and WHO, emphasizing methodological transparency and generalizability.</t>
  </si>
  <si>
    <t>Mvumbi, et al, (2026), Preprints.org</t>
  </si>
  <si>
    <t>A Constrained-Evolution Hypothesis for the 2026 Bundibugyo Ebolavirus Outbreak in the Democratic Republic of the Congo: Predictable Mutational Pathways, Diagnostic Fragility, and Short-Horizon Epidemic Trajectories</t>
  </si>
  <si>
    <t>10.20944/preprints202605.1844.v1</t>
  </si>
  <si>
    <t>http://europepmc.org/abstract/PPR/PPR1241476 https://doi.org/10.20944/preprints202605.1844.v1</t>
  </si>
  <si>
    <t>https://doi.org/10.20944/preprints202605.1844.v1</t>
  </si>
  <si>
    <t>Cross-border transmission of Ebola virus disease caused by Bundibugyo virus into Uganda, 2026</t>
  </si>
  <si>
    <t>10.1016/s1473-3099(26)00288-4</t>
  </si>
  <si>
    <t>http://europepmc.org/abstract/MED/42225115 https://doi.org/10.1016/S1473-3099(26)00288-4</t>
  </si>
  <si>
    <t>https://doi.org/10.1016/s1473-3099(26)00288-4</t>
  </si>
  <si>
    <t>The report from the Uganda Ministry of Health describes the 2026 cross-border outbreak of Ebola disease caused by Bundibugyo virus (BDBV), in which two infected individuals travelled from the outbreak epicentre in Ituri Province, Democratic Republic of the Congo, to private hospitals in Kampala, Uganda. The authors highlight regional medical referral pathways and population mobility as key risks for disease spread and recommend strict movement restrictions, enhanced contact tracing, retrospective audits of recent admissions, and heightened surveillance at regional and international referral facilities to prevent further transmission.</t>
  </si>
  <si>
    <t>PUBLIC HEALTH MEASURES - Border measures: In this correspondence, authors highlighted the referral pathways for healthcare in Uganda based on BDBV case patients. They call for authorities to restrict  movement of cases and or their contacts, from the epicentre in Ituri province to Uganda and beyond.</t>
  </si>
  <si>
    <t>The article descriptively documents two imported Bundibugyo virus disease cases that travelled from Ituri Province in the Democratic Republic of the Congo to private hospitals in Kampala, Uganda. The authors review the patients' travel and healthcare-seeking pathways and discuss the public health implications of cross-border movement and regional medical referral networks for Ebola transmission and control.</t>
  </si>
  <si>
    <t>Rapid ECDC advice on infection prevention and control measures for Ebola disease in EU/EEA healthcare settings</t>
  </si>
  <si>
    <t>https://www.ecdc.europa.eu/sites/default/files/documents/Ebola-in-healthcare-settings-advice-infection-prevention-and-control_0.pdf</t>
  </si>
  <si>
    <t>The infection prevention and control (IPC) measures for Ebola disease described in this document are aimed at preventing the transmission of ebolaviruses in the EU/EEA from the time of symptom onset through hospitalisation.</t>
  </si>
  <si>
    <t>van Genderen, et al, (2026), Journal of Travel Medicine</t>
  </si>
  <si>
    <t>Closed Cohorts versus Open Borders: Travel Medicine Lessons from the Ebola and Andes Hantavirus outbreaks</t>
  </si>
  <si>
    <t>10.1093/jtm/taag045</t>
  </si>
  <si>
    <t>https://ovidsp.ovid.com/ovidweb.cgi?T=JS&amp;PAGE=reference&amp;D=medp&amp;NEWS=N&amp;AN=42231591 http://CT4XW3QJ9Z.search.serialssolutions.com/?url_ver=Z39.88-2004&amp;rft_val_fmt=info:ofi/fmt:kev:mtx:journal&amp;rfr_id=info:sid/Ovid:medp&amp;rft.genre=article&amp;rft_id=info:doi/10.1093%2Fjtm%2Ftaag045&amp;rft_id=info:pmid/42231591&amp;rft.issn=1195-1982&amp;rft.volume=&amp;rft.issue=&amp;rft.spage=&amp;rft.pages=&amp;rft.date=2026&amp;rft.jtitle=Journal+of+Travel+Medicine&amp;rft.atitle=Closed+Cohorts+versus+Open+Borders%3A+Travel+Medicine+Lessons+from+the+Ebola+and+Andes+Hantavirus+outbreaks.&amp;rft.aulast=van+Genderen</t>
  </si>
  <si>
    <t>https://doi.org/10.1093/jtm/taag045</t>
  </si>
  <si>
    <t>Genomic Epidemiology and Molecular Characteristics of Bundibugyo Virus</t>
  </si>
  <si>
    <t>https://www.publichealthontario.ca/-/media/Documents/B/26/bundibugyo-virus-genomic-epidemiology-molecular-characteristics.pdf?rev=93d3703a06c74be099f0e96e59b37abd&amp;sc_lang=en</t>
  </si>
  <si>
    <t>This rapid review highlights the genomic and molecular characteristics of BDBV, focusing on mutations identified in recent and past outbreaks; comparative genomic analyses based on current available genomic sequences indicate that the 2026 outbreak likely originated from a novel zoonotic spillover event rather than direct continuation of the 2007 Uganda or 2012 DRC outbreaks. Based on genomic analysis, shared nonsynonymous substitutions, concentrated in antigenically exposed regions of the glycoprotein (GP) gene, were observed in the 2012 and 2026 outbreak genomes.</t>
  </si>
  <si>
    <t>MUTATIONS/PHYLOGENETIC ANALYSIS:  Genomic analyses suggest this outbreak stems from a novel zoonotic spillover, distinct from the 2007 and 2012 outbreaks, with shared and unique mutations identified in the glycoprotein (GP) gene and other viral regions. However, the functional impact of these mutations on viral transmissibility, pathogenicity, or fitness remains experimentally unconfirmed.</t>
  </si>
  <si>
    <t>Researchers reviewed published and preprint literature for BDBV mutations potentially associated with outbreak dynamics and viral evolution. Keywords were searched in PubMed and sequence data from the 2026 outbreak and previously reported outbreak-associated sequences  were retrieved from the  SeqSet and analyzed for genomic relatedness.</t>
  </si>
  <si>
    <t>Bundibugyo virus disease evidence map: a Rapid Research Needs Appraisal</t>
  </si>
  <si>
    <t>https://media.licdn.com/dms/document/media/v2/D561FAQHQVSzy1EIRvA/feedshare-document-pdf-analyzed/B56Z50JXGlLEAY-/0/1780065074614?e=1781740800&amp;v=beta&amp;t=ZGdWpFku9cm5WSC5kDvE1x5xEWN3372nVeUJmnczLM0&amp;acrobatPromotionSource=linkedin_chrome-post_view</t>
  </si>
  <si>
    <t>This rapid research needs appraisal synthesises existing published evidence across key domains of BDBV, including clinical presentation, complications, and long-term sequelae, identified 25 studies, predominantly observational (96%), conducted in Uganda (n=15), DRC (n=8), and Guinea (n=2). Fever, fatigue, headache, and gastrointestinal symptoms were most commonly reported; haemorrhagic manifestations ranged from 29–52%, with a CFR of 32.2% (CI 25.8–40.2).</t>
  </si>
  <si>
    <t>This rapid research needs appraisal synthesises existing published evidence across key domains, including clinical presentation, complications, and long-term sequelae, identified 25 studies, predominantly observational (96%), conducted in Uganda (n=15), DRC (n=8), and Guinea (n=2).  This appraisal identified a sparse evidence-base with profound gaps in clinical characterisation, therapeutics, vaccines, and social and behavioural research. Existing countermeasures target EBOV and cannot be assumed effective against BDBV. The ongoing outbreak in DRC and Uganda makes these gaps not a future priority but an immediate crisis.</t>
  </si>
  <si>
    <t>Researchers implemented a targeted RRNA focused on Bundibugyo virus to identify studies including humans or human samples, focused on studying at least one of the research domain topics: clinical characteristics, immune response, seroprevalence, transmission (human-to-human), risk factors for disease, severe disease/death, diagnostics, vaccines and therapeutic prophylaxis, therapeutics, supportive care, and associated social and behavioural factors. Following PRISMA-ScR guidelines, protocol registration: https://osf.io/twfnr/13The following databases were searched: Ovid Embase, Ovid MEDLINE and Scopus from 1 January 1999 to 06 February 2026.</t>
  </si>
  <si>
    <t>Molecular evolutionary analysis of the current Bundibugyo virus disease outbreak in DRC and Uganda</t>
  </si>
  <si>
    <t>https://virological.org/t/molecular-evolutionary-analysis-of-the-current-bundibugyo-virus-disease-outbreak-in-drc-and-uganda/1042</t>
  </si>
  <si>
    <t>Analysis of 10 BDBV sequences from DRC and Uganda share a most recent common ancestor between March 1 and March 15, 2026, and exhibit significant genetic diversity, indicating the outbreak had been circulating undetected for several weeks. Preliminary estimates suggest an epidemic doubling time (range: 15.2 to 24.5 days) and a reproduction number (𝑅0) above 1 (range: 1.31 to 1.55). These findings should be interpreted cautiously due to substantial uncertainty. 
Estimates of doublings per year was determined using a generation time estimate from incubation and infectious period estimates from previous outbreak.</t>
  </si>
  <si>
    <t>REPRODUCTION NUMBER:
The corresponding reproduction number (𝑅0) estimates are centred above 1, with mean estimates ranging from 1.31 to 1.55, although substantial uncertainty remains because of the limited number of sequences currently available.  The reproduction number was estimated from the number of doublings per year using a generation time estimate derived from previous outbreak published incubation and infectious-period estimates for Bundibugyo virus disease.
OUTBREAK SIZE AND DURATION - DOUBLING TIME:
The estimated epidemic doubling time is relatively slow but highly uncertain. Across the six substitution-rate assumptions, the mean estimated doubling time ranges from 15.2 to 24.5 days,  although the corresponding uncertainty intervals are wide and include zero and should therefore be interpreted cautiously.
MUTATIONS &amp; PHYLOGENETIC ANALYSIS: The sampled viruses appear to share a most recent common ancestor in early-to-mid March 2026 and are already genetically diverse. Researchers identified 23 unique mutations across the 10 sequences sampled.</t>
  </si>
  <si>
    <t>Outbreak-associated BDBV sequences were downloaded from Pathoplexus and were aligned to the reference genome FJ217161.1 using MAFFT v7.490, then manually inspected in AliView. Ancestral node reconstruction was performed using IQ-TREE v3.0.1 and the best-fitting substitution model, HKY+F+I. This analysis was used to reconstruct the consensus sequence of the most recent common ancestor (MRCA) of the sampled outbreak sequences. This reconstructed MRCA sequence was then used as the root for the outbreak mutation reconstruction.
We used systematically collected Ebola virus disease parameters7 available through {epireview}8 to identify previous estimates of epidemiological delays for Bundibugyo virus disease.9,10 This gave a generation time estimate of 9.6 days. The uncertainty intervals for 𝑅0 were obtained by propagating the 95% HPD interval from the estimated number of doublings per year.
The estimated growth rates and 𝑅0 values are likely affected by sampling bias. The sequences included here were collected between 03 May 2026 and 20 May 2026, and therefore represent a short time window around the identification and declaration of the BVD outbreak.11 Situation reports12,13 and independent epidemiological analyses14 suggest that, even at the time these sequences were generated, the outbreak was already substantially larger than the available sequence data alone would indicate.
All analyses were performed in Delphy1 and run until the minimum effective sample size was greater than 100. The reproduction number was estimated from the number of doublings per year using a generation time estimate derived from published incubation and infectious-period estimates for Bundibugyo virus disease.7-10</t>
  </si>
  <si>
    <t>Kenyi, et al, (2026), South Sudan Medical Journal</t>
  </si>
  <si>
    <t>Ebola: The Bundibugyo virus is back</t>
  </si>
  <si>
    <t>10.4314/ssmj.v19i2.1</t>
  </si>
  <si>
    <t>https://www.scopus.com/pages/publications/105039966009?origin=resultslist</t>
  </si>
  <si>
    <t>https://www.southsudanmedicaljournal.com/assets/files/Journals/vol_19_iss_2_may_26/SSMJ%20Vol%2019%20No%202_Final.pdf</t>
  </si>
  <si>
    <t>PAHO steps up preparedness across the Americas amid Ebola outbreak in Africa</t>
  </si>
  <si>
    <t>https://www.paho.org/en/news/4-6-2026-paho-steps-preparedness-across-americas-amid-ebola-outbreak-africa</t>
  </si>
  <si>
    <t>ChamlaD, et al, (2026), SSRN</t>
  </si>
  <si>
    <t>Risk of Cross-Border Spillover from the 2026 Bundibugyo Ebolavirus Outbreak in Ituri Province, Democratic Republic of the Congo and Its Implications on Preparedness: A Stochastic Modelling Study</t>
  </si>
  <si>
    <t>10.2139/ssrn.6794410</t>
  </si>
  <si>
    <t>https://www.ssrn.com/index.cfm/en/ https://ovidsp.ovid.com/ovidweb.cgi?T=JS&amp;PAGE=reference&amp;D=empp&amp;NEWS=N&amp;AN=2045866887 http://CT4XW3QJ9Z.search.serialssolutions.com/?url_ver=Z39.88-2004&amp;rft_val_fmt=info:ofi/fmt:kev:mtx:journal&amp;rfr_id=info:sid/Ovid:empp&amp;rft.genre=article&amp;rft_id=info:doi/10.2139%2Fssrn.6794410&amp;rft_id=info:pmid/&amp;rft.issn=1556-5068&amp;rft.volume=&amp;rft.issue=&amp;rft.spage=&amp;rft.pages=&amp;rft.date=2026&amp;rft.jtitle=SSRN&amp;rft.atitle=Risk+of+Cross-Border+Spillover+from+the+2026+Bundibugyo+Ebolavirus+Outbreak+in+Ituri+Province%2C+Democratic+Republic+of+the+Congo+and+Its+Implications+on+Preparedness%3A+A+Stochastic+Modelling+Study&amp;rft.aulast=Chamla</t>
  </si>
  <si>
    <t>https://papers.ssrn.com/sol3/papers.cfm?abstract_id=6794410</t>
  </si>
  <si>
    <t>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t>
  </si>
  <si>
    <t>Epi parameters - outbreak size &amp; Clinical data - mortality: 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 
PHM - Border measures:  Although Bundibugyo ebolavirus is associated with lower transmissibility and mortality than Zaire ebolavirus, the prolonged pre-detection period and extensive regional population mobility create substantial risk of cross-border dissemination. Preparedness interventions should prioritise Uganda and South Sudan to mitigate potential spread and strengthen regional containment capacity.</t>
  </si>
  <si>
    <t>Developed a stochastic susceptible-exposed-infectious-recovered-dead (SEIRD) ensemble model calibrated to observed reported case counts and parameterised using historical Bundibugyo ebolavirus transmission characteristics. Three transmissibility scenarios were modelled over a 12-week horizon. A linked spillover model estimated the probability of importation into neighbouring countries using mobility volumes, infectious prevalence, and residual undetected border-crossing assumptions.</t>
  </si>
  <si>
    <t>Hoenen, et al, (2026), Npj viruses</t>
  </si>
  <si>
    <t>Bundibugyo virus-perspectives for the current outbreak</t>
  </si>
  <si>
    <t>10.1038/s44298-026-00204-6</t>
  </si>
  <si>
    <t>http://europepmc.org/abstract/MED/42249100 https://doi.org/10.1038/s44298-026-00204-6</t>
  </si>
  <si>
    <t>https://www.nature.com/articles/s44298-026-00204-6</t>
  </si>
  <si>
    <t>Bundibugyo virus disease outbreak in DR Congo: current trajectory and potential risk for a Pandemic Emergency</t>
  </si>
  <si>
    <t>10.1016/s1473-3099(26)00298-7</t>
  </si>
  <si>
    <t>http://europepmc.org/abstract/MED/42248168 https://doi.org/10.1016/S1473-3099(26)00298-7</t>
  </si>
  <si>
    <t>https://www.sciencedirect.com/science/article/pii/S1473309926002987?via%3Dihub</t>
  </si>
  <si>
    <t>Houldcroft, et al, (2026), Microbial genomics</t>
  </si>
  <si>
    <t>2026 Bundibugyo virus outbreak: the role of genomics in Orthoebolavirus outbreaks</t>
  </si>
  <si>
    <t>10.1099/mgen.0.001754</t>
  </si>
  <si>
    <t>http://europepmc.org/abstract/MED/42246951 https://doi.org/10.1099/mgen.0.001754 https://europepmc.org/articles/PMC13240716 https://europepmc.org/articles/PMC13240716?pdf=render</t>
  </si>
  <si>
    <t>https://www.microbiologyresearch.org/content/journal/mgen/10.1099/mgen.0.001754</t>
  </si>
  <si>
    <t>Dhillon, et al, (2026), Lancet (London, England)</t>
  </si>
  <si>
    <t>Rapid tests for Bundibugyo virus in DR Congo</t>
  </si>
  <si>
    <t>10.1016/s0140-6736(26)01044-5</t>
  </si>
  <si>
    <t>http://europepmc.org/abstract/MED/42242266 https://doi.org/10.1016/S0140-6736(26)01044-5</t>
  </si>
  <si>
    <t>https://www.sciencedirect.com/science/article/pii/S0140673626010445?via%3Dihub</t>
  </si>
  <si>
    <t>Therapeutic and prophylactic strategies for Ebola caused by Bundibugyo virus</t>
  </si>
  <si>
    <t>10.1038/d41573-026-00094-6</t>
  </si>
  <si>
    <t>http://europepmc.org/abstract/MED/42243558 https://doi.org/10.1038/d41573-026-00094-6</t>
  </si>
  <si>
    <t>https://www.nature.com/articles/d41573-026-00094-6</t>
  </si>
  <si>
    <t>Mooring, et al, (2026), MMWR Morb Mortal Wkly Rep.</t>
  </si>
  <si>
    <t>Modeled Scenario Projections for the Ebola Disease Outbreak Caused by Bundibugyo Virus, 2026</t>
  </si>
  <si>
    <t>http://dx.doi.org/10.15585/mmwr.mm7522e1</t>
  </si>
  <si>
    <t>https://www.cdc.gov/mmwr/volumes/75/wr/mm7522e1.htm?s_cid=OS_mm7522e1_w#suggestedcitation</t>
  </si>
  <si>
    <t>https://www.cdc.gov/mmwr/volumes/75/wr/mm7522e1.htm?s_cid=mm7522e1_w</t>
  </si>
  <si>
    <t>With poor isolation levels of patients with BVD (20%) and no other interventions, the likelihood of an outbreak that exceeds 20,000 cases within 3 months is 65%. If, however a high proportion of patients were to enter isolation (70%), only a one in 20 chance is projected for an outbreak with ≥10,000 cases within 3 months.</t>
  </si>
  <si>
    <t>Epidemiological Parameter - Estimates of outbreak size or duration &amp; Clinical Data - Mortality: The transmission model estimated the outbreak likely began between late January and mid-February 2026.  With only 20% of cases isolated, simulations frequently predicted &gt;20,000 cases and &gt;4,000 deaths. Increasing isolation to 70% substantially reduced transmission, with most simulations projecting &lt;10,000 cases and &lt;2,000 deaths. However, if the outbreak was already larger by May 24 (100–200 deaths), even 70% isolation still resulted in a substantial risk of very large outbreaks.
Epidemiological Parameter - Reproduction Number (R0/Rt): SUPPLEMENTARY FIGURE 1 shows estimates of the effective reproductive number before and after  simulated implementation of isolation of persons with Bundibugyo virus disease, 2026. Re declined proportional to the percentage of infected persons successfully isolated.</t>
  </si>
  <si>
    <t>CDC used a branching process model to simulate BVD outbreaks where each simulated outbreak was initialized with one infected person, who represented the person first infected from a zoonotic source (a spillover event). This person infected a randomly generated number of additional persons based on assumptions about the basic reproductive number ([R0]. Any infected persons were added to the simulation at times selected according to the distribution of intervals from one infection to the next, causing further infection and this simulation process continued until either 1) none of the infected persons in a generation caused any secondary infections, indicating termination of the outbreak or 2) the simulation reached 5,000 deaths, indicating a very large and exponentially growing outbreak.</t>
  </si>
  <si>
    <t>Zomahoun DelayoL, et al, (2026), MMWR Morb Mortal Wkly Rep.</t>
  </si>
  <si>
    <t>Notes from the Field: Outbreak of Ebola Disease Caused by Bundibugyo Virus — Democratic Republic of the Congo and Uganda, May 2026</t>
  </si>
  <si>
    <t>http://dx.doi.org/10.15585/mmwr.mm7522e3</t>
  </si>
  <si>
    <t>https://www.cdc.gov/mmwr/volumes/75/wr/mm7522e3.htm#suggestedcitation</t>
  </si>
  <si>
    <t>https://www.cdc.gov/mmwr/volumes/75/wr/mm7522e3.htm?s_cid=mm7522e3_w</t>
  </si>
  <si>
    <t>As of June 2, a total of 378 confirmed cases and 63 confirmed deaths have been reported as part of the 2026 BVBD outbreak. No cases have been reported in the United States.</t>
  </si>
  <si>
    <t>Epidemiological Parameter - Incidence/prevalence of disease &amp; Clinical Data - Mortality:  As of June 2, a total of 378 confirmed cases and 63 confirmed deaths have been reported.</t>
  </si>
  <si>
    <t>The authors report  outbreak surveillance and investigation data collected during the 2026 Bundibugyo Ebola outbreak in the Democratic Republic of the Congo and Uganda.</t>
  </si>
  <si>
    <t>Richard DanielleM, et al, (2026), MMWR Morb Mortal Wkly Rep.</t>
  </si>
  <si>
    <t>Assessment of Risk to the U.S. Population from the Ebola Disease Outbreak Caused by Bundibugyo Virus, 2026</t>
  </si>
  <si>
    <t>http://dx.doi.org/10.15585/mmwr.mm7522e2</t>
  </si>
  <si>
    <t>https://www.cdc.gov/mmwr/volumes/75/wr/mm7522e2.htm#suggestedcitation</t>
  </si>
  <si>
    <t>https://www.cdc.gov/mmwr/volumes/75/wr/mm7522e2.htm?s_cid=mm7522e2_w</t>
  </si>
  <si>
    <t>The assessment found that the overall risk to the U.S. population posed by the current BVD outbreak during the next 3 months is low, based on the extremely low likelihood of transmission, despite the high impact that potential infection could have and the resources that would be required to respond to the outbreak.  CDC continues to monitor factors that could change this risk assessment.</t>
  </si>
  <si>
    <t>Communicable disease threats report, 30 May - 5 June 2026, Week 23</t>
  </si>
  <si>
    <t>https://www.ecdc.europa.eu/sites/default/files/documents/Communicable-disease-threats-report-week-23-2026.pdf</t>
  </si>
  <si>
    <t>Abdallah, et al, (2026), Infection</t>
  </si>
  <si>
    <t>When Ebola meets conflict: surveillance vulnerability in the Bundibugyo outbreak</t>
  </si>
  <si>
    <t>10.1007/s15010-026-02864-1</t>
  </si>
  <si>
    <t>http://europepmc.org/abstract/MED/42257794 https://doi.org/10.1007/s15010-026-02864-1</t>
  </si>
  <si>
    <t>https://link.springer.com/article/10.1007/s15010-026-02864-1</t>
  </si>
  <si>
    <t>Middleton, et al, (2026), medRxiv</t>
  </si>
  <si>
    <t>Limitations of cross-border containment strategies for Bundibugyo ebolavirus</t>
  </si>
  <si>
    <t>10.64898/2026.06.04.26354820</t>
  </si>
  <si>
    <t>http://europepmc.org/abstract/PPR/PPR1248274 https://doi.org/10.64898/2026.06.04.26354820</t>
  </si>
  <si>
    <t>https://www.medrxiv.org/content/10.64898/2026.06.04.26354820v1</t>
  </si>
  <si>
    <t>The authors found that traveler screening via symptom
screening or molecular testing will miss the majority of Bundibugyo virus disease (BVD) infected travelers, and should be complemented by post-arrival quarantine and monitoring of sufficient duration to detect those with long incubation periods. These findings underscore the limitations of border screening and the importance of complementary measures like post-arrival quarantine to prevent local importation of BVD.</t>
  </si>
  <si>
    <t>Public Health Measures - Border measures
A model to predict the proportion of infected travelers missed by symptom screening at arrival and post-arrival quarantine with symptom monitoring was developed. The model estimates that arrival symptom screening will miss 67.6%–86.3% of infected travelers in a steady state outbreak within the source country.  If all arriving travelers are subject to a universal post-arrival quarantine and monitoring, the researchers estimate that a 7day quarantine will miss 26.3% of infections. If both interventions are applied, the combination of arrival screening with post-arrival universal quarantine is predicted to miss 17.8%–22.7% of infected travelers.
Public Health Measures - Quarantine/isolation
Researchers conclude that travel screening is beneficial however, quarantining is more effective in detecting  infected travellers. Increasing quarantine duration decreases the proportion of infections missed, but even a 21-day quarantine is predicted to be imperfect if the incubation period distribution is heavy-tailed. Empirical data to better characterize the shape of this distribution would greatly improve predictions and therefore, quarantine decisions must weigh the increasing cost of longer quarantine periods against the diminishing benefit of reduced risk of evasion.</t>
  </si>
  <si>
    <t>Researchers  developed a simple model to predict the proportion of infected travelers missed by symptom screening at arrival and post-arrival quarantine with symptom monitoring. This model analyzes the effectiveness of symptom-based screening and quarantine measures in detecting infected travelers, considering variables like incubation period, symptom onset, and epidemiological dynamics. It derives failure rates for screening and quarantine programs under different scenarios, including steady-state and exponentially growing outbreaks, and provides estimates for the Bundibugyo virus incubation period</t>
  </si>
  <si>
    <t>Kopp, et al, (2026), Preprints.org</t>
  </si>
  <si>
    <t>Whole-Genome Sequencing for High-Consequence Emerging RNA Viruses: Strategy Selection for Bundibugyo Virus Disease Under 2026 Outbreak Constraints</t>
  </si>
  <si>
    <t>10.20944/preprints202606.0426.v1</t>
  </si>
  <si>
    <t>http://europepmc.org/abstract/PPR/PPR1247657 https://doi.org/10.20944/preprints202606.0426.v1</t>
  </si>
  <si>
    <t>https://www.preprints.org/manuscript/202606.0426</t>
  </si>
  <si>
    <t>Infection Prevention and Control Management of Viral Hemorrhagic Fever in Pre-Hospital Care and Ground Transport</t>
  </si>
  <si>
    <t>https://www.publichealthontario.ca/-/media/Documents/V/26/vhf-ems-aag-summary-ipac-recommendations-preventing-transmissions-staff.pdf?rev=6782a42743364ad9955b585f06e84894&amp;sc_lang=en</t>
  </si>
  <si>
    <t>This document summarizes key infection prevention and control (IPAC) elements  aimed at  Emergency Medical Services (EMS) staff caring for patients with a suspect or confirmed Viral Hemorrhagic Fever (VHF) such as Ebola, Marburg and Lassa during pre-hospital care and ground transport.  It categorizes patient risk levels (stable suspect, unstable suspect, or confirmed case) and outlines specific PPE requirements, patient placement strategies, and procedures for equipment use, waste management, and vehicle cleaning. The recommendations are based on existing guidelines from Public Health Ontario and the Public Health Agency of Canada, with additional considerations for minimizing exposure risks and ensuring staff safety.</t>
  </si>
  <si>
    <t>IPAC Guidance for VHF Specimen Collection and Handling in Acute Care Settings</t>
  </si>
  <si>
    <t>https://www.publichealthontario.ca/-/media/Documents/I/26/ipac-vhf-specimen-collection.pdf?rev=aee3887ddf4a4c8aa8c47440061f1d77&amp;sc_lang=en</t>
  </si>
  <si>
    <t>This document provides considerations intended to support the safe collection and handling of specimens from patients with suspected or confirmed viral hemorrhagic fever (VHF) within a healthcare setting while minimizing the risk of transmission to healthcare workers and others.</t>
  </si>
  <si>
    <t>Ngongo, et al, (2026), Nature Medicine</t>
  </si>
  <si>
    <t>Bundibugyo Ebola without vaccines or therapeutics: why public health fundamentals matter more than border closures</t>
  </si>
  <si>
    <t>https://doi.org/10.1038/s41591-026-04482-8</t>
  </si>
  <si>
    <t>https://www.nature.com/articles/s41591-026-04482-8</t>
  </si>
  <si>
    <t>https://www.nature.com/articles/s41591-026-04482-8#article-info</t>
  </si>
  <si>
    <t>Mwamba D, et al, (2026), Nature</t>
  </si>
  <si>
    <t>Arson attacks at Ebola hospitals are a cry for regional development</t>
  </si>
  <si>
    <t>https://doi.org/10.1038/d41586-026-01846-5</t>
  </si>
  <si>
    <t>https://www.nature.com/articles/d41586-026-01846-5</t>
  </si>
  <si>
    <t>Bhadelia, et al, (2026), International journal of infectious diseases : IJID : official publication of the International Society for Infectious Diseases</t>
  </si>
  <si>
    <t>Regional Signals Preceding the 2026 Bundibugyo Virus Disease Outbreak</t>
  </si>
  <si>
    <t>10.1016/j.ijid.2026.108862</t>
  </si>
  <si>
    <t>http://europepmc.org/abstract/MED/42264211 https://doi.org/10.1016/j.ijid.2026.108862</t>
  </si>
  <si>
    <t>https://www.sciencedirect.com/science/article/pii/S1201971226004972?via%3Dihub</t>
  </si>
  <si>
    <t>The Biothreats Emergence, Analysis, and Communications Network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t>
  </si>
  <si>
    <t>EPI PARAMETER- Cluster investigation: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 None were formally reported to have been resolved. The detection of four unresolved VHF signals preceding the confirmed BDBV outbreak highlights gaps in formal follow-up mechanisms for negative cases and fragmented regional diagnostic coordination.</t>
  </si>
  <si>
    <t>The regional surveillance signals detected by BEACON, an open access event based surveillance program, in the weeks preceding outbreak declaration are described. Authors reviewed BEACON reports of VHF-compatible illness clusters detected in the transboundary DRC-Uganda-Burundi-South Sudan region during March–April 2026, prior to the May 15 laboratory confirmation of BDBV.</t>
  </si>
  <si>
    <t>Nachega, et al, (2026), Lancet (London, England)</t>
  </si>
  <si>
    <t>Ebola outbreak caused by Bundibugyo virus: challenges and priorities for epidemic preparedness and response</t>
  </si>
  <si>
    <t>10.1016/s0140-6736(26)01141-4</t>
  </si>
  <si>
    <t>http://europepmc.org/abstract/MED/42263728 https://doi.org/10.1016/S0140-6736(26)01141-4</t>
  </si>
  <si>
    <t>https://www.sciencedirect.com/science/article/pii/S0140673626011414?via%3Dihub</t>
  </si>
  <si>
    <t>Dutt, et al, (2026), The Journal of infection</t>
  </si>
  <si>
    <t>Remdesivir triphosphate as a potential repurposed drug against the emerging Bundibugyo Ebolavirus 2026</t>
  </si>
  <si>
    <t>10.1016/j.jinf.2026.106788</t>
  </si>
  <si>
    <t>http://europepmc.org/abstract/MED/42263420 https://doi.org/10.1016/j.jinf.2026.106788</t>
  </si>
  <si>
    <t>https://www.sciencedirect.com/science/article/pii/S0163445326001131?via%3Dihub</t>
  </si>
  <si>
    <t>Based on the mutation mapping profile, the authors observed no new mutations in the RdRp catalyist domain and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t>
  </si>
  <si>
    <t>PATHOGEN STUDIES - Mutations, Structural characterization, and Protein-inhibitor/binding interactions: The authors mapped the mutations in the L protein encoded by the newly sequenced genome of BDBV 2026 from the ongoing ebola outbreak in DRC and Uganda. Based on the mutation mapping profile, they observed no new mutations in the RdRp catalyist domain. Subsequently, they modeled the RdRp BDBV 2026 protein and docked RTP with the RdRp catalyist domain. RTP is an approved antiviral drug for SARS-CoV-2.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t>
  </si>
  <si>
    <t>The authors performed molecular and mutational annotation of RNA-dependent RNA polymerase from BDBV and molecular docking of Remdesivir triphosphate (RTP) to RNA-dependent RNA polymerase in BDBV to evaluate inhibition potential inhibition of RTP against the RdRp encoded by the Large (L) protein of the BDBV. They sequenced a clinical isolate (CL023114) of a 59-year-old BDBV infected patient which was identified as travel case. Genome sequencing was performed using the Illumina NextSeq and the sequence was submitted to the Pathoplexus platform with accession number of PP_006XCJJ.1. To predict an accurate three dimensional (3D) structural model of the L protein (RdRp), the Google DeepMind-based AlphaFold3 algorithm was employed.</t>
  </si>
  <si>
    <t>Kinoshita, et al, (2026), medRxiv</t>
  </si>
  <si>
    <t>Early assessment of potential airline-mediated importation risk during the 2026 DRC-Uganda Bundibugyo virus disease outbreak</t>
  </si>
  <si>
    <t>10.64898/2026.06.01.26354569</t>
  </si>
  <si>
    <t>http://europepmc.org/abstract/PPR/PPR1249027 https://doi.org/10.64898/2026.06.01.26354569</t>
  </si>
  <si>
    <t>https://www.medrxiv.org/content/10.64898/2026.06.01.26354569v1</t>
  </si>
  <si>
    <t>Effective-distance analyses identified major international hub countries, including Belgium, France, South Africa, Kenya, and the United Arab Emirates, as higher-probability gateways within 30 days, with the top-ranked countries all exceeding a probability of 0.64 (range: 0.28-0.82 in the sensitivity analysis).  These early projections provide a reproducible framework for real-time international situational awareness, while emphasizing that importation risk does not imply local transmission risk.</t>
  </si>
  <si>
    <t>Epidemiological Parameter - Estimates of outbreak size or duration:  The highest 30 day country-level arrival probabilities were observed in major international hub countries including Belgium, France, South Africa, Kenya, and the United Arab Emirates, with the top-ranked countries all exceeding 0.64, whose probaility ranged from 0.28 to 0.82 in the sensitivity analysis.</t>
  </si>
  <si>
    <t>The study projected airline-mediated importation risk for Bundibugyo virus disease during the 2026 DRC-Uganda outbreak using a hazard-based model using the 2013–2016 West African EVD epidemic. Researchers constructed a directed, weighted air-traffic network from 2024 passenger-flow data and calculated the shortest paths distances from Kinshasa/N’djili International Airport to global destinations using Dijkstra’s algorithm. Arrival probabilities were estimated along with sensitivity analyses exploring alternative starting points (Entebbe International Airport).</t>
  </si>
  <si>
    <t>Boatemaa, et al, (2026), Research Square</t>
  </si>
  <si>
    <t>Mapping the Global Evidence Base of Bundibugyo Ebolavirus Disease: A Systematic Scoping Review of Research Gaps and Preparedness Priorities</t>
  </si>
  <si>
    <t>10.21203/rs.3.rs-9948439/v1</t>
  </si>
  <si>
    <t>http://europepmc.org/abstract/PPR/PPR1248808 https://doi.org/10.21203/rs.3.rs-9948439/v1</t>
  </si>
  <si>
    <t>https://www.researchsquare.com/article/rs-9948439/v1</t>
  </si>
  <si>
    <t>Scoping Review</t>
  </si>
  <si>
    <t>Only 23% of included studies specifically examined Bundibugyo virus disease (BDBV), with most research focused on other ebolaviruses, particularly Zaire ebolavirus, and concentrated on epidemiological drivers and clinical features. Major gaps remain in response-related research, including the absence of licensed BDBV-specific vaccines, therapeutics, and validated rapid diagnostics, while survivor outcomes are poorly characterized and study quality is limited by moderate risk of bias from missing outcome data and selective reporting.</t>
  </si>
  <si>
    <t>Only 23% of the included studies specifically addressed BDBV, with the remainder focusing on broader ebolavirus topics dominated by Zaire ebolavirus (EBOV). Applying the conceptual model revealed pronounced asymmetries across the research domains: the literature remains heavily concentrated within upstream epidemiological drivers and clinical features. Conversely, critical health system response domains lack validated tools; no licensed vaccine, specific therapeutic agent, or point-of-care rapid diagnostic test validated for BDBV currently exists. While cross-reactive monoclonal antibodies show preclinical efficacy, clinical-grade validation remains absent, and longitudinal survivor outcomes are sparsely documented. Systemic moderators, particularly weak health infrastructure and conflict, continue to compound these gaps. Methodological risk of bias was moderate, driven by missing outcome data (42% of studies) and selective reporting (41%). Conclusions BDBV remains understudied relative to its epidemic potential.</t>
  </si>
  <si>
    <t>This systematic scoping review was conducted in accordance with the Preferred Reporting Items for Systematic Reviews and Meta-Analyses Extension for Scoping Reviews (PRISMA-ScR) guidelines. The protocol was prospectively registered on the Open Science Framework (available at: https://osf.io/q8r63). Searches were executed programmatically using a custom Python 3.12 script on 1 May 2026 across PubMed/MEDLINE, OpenAlex, and Semantic Scholar, supplemented by manual searches of Scopus, Web of Science, WHO Disease Outbreak News, Africa CDC, medRxiv, and ReliefWeb. The PubMed strategy combined MeSH terms and free-text synonyms across 24 topic-specific queries.</t>
  </si>
  <si>
    <t>Interim Guidance for Public Health Assessment and Management of Travelers from Countries Affected by the 2026 Ebola Outbreak</t>
  </si>
  <si>
    <t>https://www.cdc.gov/ebola/php/emergency-guidance/</t>
  </si>
  <si>
    <t>This page contains interim guidance for U.S. state, tribal, local and territorial health departments in conducting post-arrival public health assessments and management of travelers to their jurisdictions from the countries affected by the 2026 Ebola outbreak. This guidance reflects current evidence as of June 3, 2026, and may be updated as new information becomes available.</t>
  </si>
  <si>
    <t>Ebola and Marburg haemorrhagic fevers: outbreaks and case locations</t>
  </si>
  <si>
    <t>Ebola and Marburg haemorrhagic fevers: outbreaks and case locations - GOV.UK</t>
  </si>
  <si>
    <t>https://www.gov.uk/guidance/ebola-and-marburg-haemorrhagic-fevers-outbreaks-and-case-locations</t>
  </si>
  <si>
    <t>This guidance includes information about incidents and outbreaks of Ebola and Marburg, both viral haemorrhagic fevers (VHF). As of June 10, 2026, the Democratic Republic of the Congo (DRC) and Uganda are experiencing a public health emergency of international concern due to a new outbreak of Ebola disease caused by the Bundibugyo virus, with 598 confirmed cases and 101 deaths reported in the DRC, and 19 confirmed cases and 2 deaths reported in Uganda. This outbreak is part of a series of Ebola and Marburg virus disease incidents and outbreaks that have occurred globally from 2016 to 2026, with various countries including Ethiopia, Rwanda, Tanzania, and Ghana being affected, and the DRC being the most frequently impacted country.</t>
  </si>
  <si>
    <t>McCabe, et al, (2026), The Lancet Infectious Diseases</t>
  </si>
  <si>
    <t>Estimation of the Ebola outbreak size in the Democratic Republic of the Congo</t>
  </si>
  <si>
    <t>10.1016/S1473-3099(26)00299-9</t>
  </si>
  <si>
    <t>https://www.thelancet.com/journals/laninf/article/PIIS1473-3099(26)00299-9/fulltext</t>
  </si>
  <si>
    <t>The results suggest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these estimates from two independent methods supports the conclusion of potentially substantial underdetection of cases and the potential for wider transmission.</t>
  </si>
  <si>
    <t>EPI PARAMETER: Outbreak size/duration: The authors found broadly consistent results suggesting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our estimates from two independent methods supports the conclusion of potentially substantial underdetection of cases and the potential for wider transmission.</t>
  </si>
  <si>
    <t>To produce early estimates of the epidemic size in the Democratic Republic of the Congo as of May 27, 2026, The authors conducted scenario based analyses using two simple independent methods, with the scarce information available and making plausible assumptions about the surveillance, severity, and growth of the outbreak. The first method uses an analytical framework linking reported suspected and confirmed deaths, of which the authors assume a proportion is due to Ebola, with estimates of the case fatality ratio (33% [95% CI 26–40]; defined as the proportion of patients who die as a result of a Bundibugyo virus infection) and the time from symptom onset to death (gamma distribution mean 11·37 days [SD 5·41]) derived from previous Bundibugyo virus. The second method combined information on the three confirmed imported Bundibugyo virus disease cases reported in Uganda (as of May 27, 2026), estimates of daily international travel volumes from Ituri and Nord Kivu provinces to Uganda, assumptions about the epidemic doubling time, and we presumed that all cases in symptomatic travellers will be detected at the time of recovery or death.</t>
  </si>
  <si>
    <t>Risk of Bundibugyo virus transmission through substances of human origin in the European Union/European Economic Area (EU/EEA)</t>
  </si>
  <si>
    <t>https://www.ecdc.europa.eu/sites/default/files/documents/Risk-of-BDBV-transmission-through-SoHO.pdf</t>
  </si>
  <si>
    <t>ECDC recommends temporary deferral of asymptomatic individuals donating substances of human origin (SoHO) for at least six weeks after arriving from areas with Bundibugyo virus community transmission and in the context of the current Ebola disease outbreak, individuals who are being monitored due to contact with a patient with an infection, or other exposure to Bundibugyo virus are ineligible to donate SoHO for at least six weeks from the beginning of the monitoring period. ECDC recommends a permanent deferral from donation of blood, cells and tissues for donors who have recovered from Ebola disease. ECDC also recommends that individuals who have had sexual contact with persons who have recovered from Ebola disease should be deferred from donating SoHO for at least six weeks after exposure, irrespective of the time elapsed since the recovery of the convalescent sexual contact.</t>
  </si>
  <si>
    <t>Nsawotebba, et al, (2026), Nature medicine</t>
  </si>
  <si>
    <t>Clinical Profile and Genomic Characterization of the 2026 Bundibugyo Virus Index Case in Uganda</t>
  </si>
  <si>
    <t>10.1038/s41591-026-04510-7</t>
  </si>
  <si>
    <t>http://europepmc.org/abstract/MED/42277463 https://doi.org/10.1038/s41591-026-04510-7</t>
  </si>
  <si>
    <t>https://www.nature.com/articles/s41591-026-04510-7</t>
  </si>
  <si>
    <t>This is a case report of the Uganda 2026 BVD index case: a male patient who traveled from the Democratic Republic of the Congo to Uganda and was admitted to a private hospital in Kampala on May 11 and died on May 14. The 2026 BDBV genome formed a distinct lineage approximately equidistant from the 2007-2008 Butalya and 2012 Isiro variants, differing by 216-227 nucleotides (~1.2% sequence divergence).</t>
  </si>
  <si>
    <t>Clinical Data - The patient’s clinical history revealed a complex cross-border pattern of healthcare-seeking behavior: he reportedly sought medical care in the DRC and later at a private clinic in Hoima District, western Uganda, where no blood work was performed before he left, and then self-referred to a private hospital in Kampala. The patient was transferred to the intensive care unit on 14 May with sepsis and multiorgan dysfunction, acute fulminant hepatitis, acute kidney injury, atrial flutter with a rapid ventricular response, and possible disseminated intravascular coagulation (DIC). He developed sudden cardiorespiratory arrest, and death was declared after unsuccessful  cardiopulmonary resuscitation. 
Phylogenetic analysis - Phylogenetic analysis showed that the 2026 Uganda genome forms a distinct lineage relative to both the 2007–2008 Uganda and 2012 DRC BDBV genomes. Pairwise genome comparisons  identified 219 nucleotide differences between the 2026 genome and the 2007–2008 Uganda genomes, and 216–227 nucleotide differences relative to the 2012 DRC genomes, corresponding 158 to approximately 1.2% sequence divergence across comparable nucleotide sites.</t>
  </si>
  <si>
    <t>Clinical case report of index BVD case. Demographic information, including patient sex and travel history from the DRC, was extracted from a standardized national VHF case investigation form and the electronic case admission record. EDTA whole-blood specimen was collected before death and tested via RT-qPCR,  Genome sequencing and phylogenetic analysis.</t>
  </si>
  <si>
    <t>Ma, et al, (2026), Bioscience trends</t>
  </si>
  <si>
    <t>Imported Ebola as a stress test of hospital resilience in an era of global connectivity</t>
  </si>
  <si>
    <t>10.5582/bst.2026.01141</t>
  </si>
  <si>
    <t>http://europepmc.org/abstract/MED/42270369 https://doi.org/10.5582/bst.2026.01141</t>
  </si>
  <si>
    <t>https://www.jstage.jst.go.jp/article/bst/advpub/0/advpub_2026.01141/_article</t>
  </si>
  <si>
    <t>Communicable Disease Report - Ebola disease outbreak caused by Bundibugyo virus – Democratic Republic of the Congo and Uganda – 2026- Week 24, 6–12 June 2026</t>
  </si>
  <si>
    <t>https://www.ecdc.europa.eu/sites/default/files/documents/2026-WCP-0032%20Final.pdf</t>
  </si>
  <si>
    <t>WHO Rapid Risk Assessment-Ebola disease caused by Bundibugyo virus, Democratic Republic of the Congo, Uganda and countries with land borders adjoining countries with documented BDBV detection v3</t>
  </si>
  <si>
    <t>https://www.who.int/publications/m/item/who-rapid-risk-assessment-ebola-disease-caused-by-bundibugyo-virus--democratic-republic-of-the-congo--uganda-and-countries-with-land-borders-adjoining-countries-with-documented-bdbv-detection-v3</t>
  </si>
  <si>
    <t>The risk in the Democratic Republic of the Congo remains assessed as very high due to ongoing transmission and the continued expansion of the outbreak into new health zones, increasing the potential for further national and regional spread; the level of risk for Uganda is still assessed as High; the risk for countries with land borders adjoining countries with documented BDBV detection, is assessed as high. The level of risk for the rest of the Africa region and at the global level is assessed as low due to: a)  At present the outbreak remains geographically limited to the Democratic Republic of the Congo, with exportation of cases only to Uganda. b) No evidence suggests sustained international transmission of BVD beyond the Democratic Republic of the Congo and Uganda border areas currently.</t>
  </si>
  <si>
    <t>OmarMA, et al, (2026), New Microbes and New Infections</t>
  </si>
  <si>
    <t>Bundibugyo Ebola in the Democratic Republic of the Congo and Uganda: A PHEIC in a countermeasure gap</t>
  </si>
  <si>
    <t>10.1016/j.nmni.2026.101783</t>
  </si>
  <si>
    <t>https://www.sciencedirect.com/science/journal/20522975 https://ovidsp.ovid.com/ovidweb.cgi?T=JS&amp;PAGE=reference&amp;D=emedx&amp;NEWS=N&amp;AN=2046064524 http://CT4XW3QJ9Z.search.serialssolutions.com/?url_ver=Z39.88-2004&amp;rft_val_fmt=info:ofi/fmt:kev:mtx:journal&amp;rfr_id=info:sid/Ovid:emedx&amp;rft.genre=article&amp;rft_id=info:doi/10.1016%2Fj.nmni.2026.101783&amp;rft_id=info:pmid/&amp;rft.issn=2052-2975&amp;rft.volume=72&amp;rft.issue=&amp;rft.spage=101783&amp;rft.pages=&amp;rft.date=2026&amp;rft.jtitle=New+Microbes+and+New+Infections&amp;rft.atitle=Bundibugyo+Ebola+in+the+Democratic+Republic+of+the+Congo+and+Uganda%3A+A+PHEIC+in+a+countermeasure+gap&amp;rft.aulast=Omar</t>
  </si>
  <si>
    <t>https://www.sciencedirect.com/science/article/pii/S2052297526000879?via%3Dihub</t>
  </si>
  <si>
    <t>Kelchtermans, et al, (2026), bioRxiv</t>
  </si>
  <si>
    <t>Cross-protection against Bundibugyo by Ebola and Sudan vaccines</t>
  </si>
  <si>
    <t>10.64898/2026.06.10.731377</t>
  </si>
  <si>
    <t>http://europepmc.org/abstract/PPR/PPR1251742 https://doi.org/10.64898/2026.06.10.731377</t>
  </si>
  <si>
    <t>https://www.biorxiv.org/content/10.64898/2026.06.10.731377v1.full.pdf+html</t>
  </si>
  <si>
    <t>A yellow fever 17D-vectored BDBV vaccine (YF-BDB) expressing the Bundibugyo virus (BDBV) glycoprotein (GP) as antigen conferred homologous protection in Ifnar−/− mice, preventing systemic viral dissemination and providing survival following surrogate BDBV challenge. Intriguingly, also vaccination with YF- EBO or YF-SUD protected mice from such BDBV surrogate challenge; while YF-BDB and YF-EBO fully protected against respective heterologous EBOV or BDBV infection, they conferred only partial protection against lethal challenge in a comparable Sudan virus (SUDV) model.</t>
  </si>
  <si>
    <t>Vaccine immunity: . A yellow fever 17D-vectored BDBV vaccine (YF-BDB) expressing the BDBV glycoprotein (GP) as antigen conferred homologous protection in Ifnar−/− mice, preventing systemic viral dissemination and providing survival following surrogate BDBV challenge. Intriguingly, also vaccination with YF- EBO or YF-SUD protected mice from such BDBV surrogate challenge. Conversely, while YF-BDB and YF-EBO fully protected against respective heterologous EBOV or BDBV infection, they  conferred only partial protection against lethal challenge in a comparable SUDV model. Serological analyses revealed comparable titers of cross-reactive antibodies across all vaccine groups. However, neutralization, especially cross-neutralization, was limited suggesting a major role for non-neutralizing mechanisms in protection.</t>
  </si>
  <si>
    <t>Authors developed a BDBV surrogate challenge model and evaluated cross-protective immunity conferred by a set of monovalent vaccine candidates representing all three Orthoebolavirus species (EBOV, SUDV ad BDBV) affecting humans.</t>
  </si>
  <si>
    <t>Quilty, et al, (2026), medRxiv</t>
  </si>
  <si>
    <t>Estimating the effectiveness of syndromic screening at airports for Bundibugyo ebolavirus disease</t>
  </si>
  <si>
    <t>10.64898/2026.06.11.26355442</t>
  </si>
  <si>
    <t>http://europepmc.org/abstract/PPR/PPR1251582 https://doi.org/10.64898/2026.06.11.26355442</t>
  </si>
  <si>
    <t>https://www.medrxiv.org/content/10.64898/2026.06.11.26355442v1</t>
  </si>
  <si>
    <t>For a 12-hour international flight from DRC or Uganda at 86% screening sensitivity, the authors estimated 65% of infected travellers would arrive undetected (95% CrI: 38–76%). The main driver of this outcome is the relative duration of the the incubation period (approximately 7.7 days) and the onset-to-severe-disease interval (approximately 4 days): most infected travellers board before symptom onset and are undetectable by any syndromic screen, whilst those who are symptomatic progress rapidly to illness severe enough to preclude travel.</t>
  </si>
  <si>
    <t>Public Health Measures - Border measures: At 86% sensitivity on a 12-hour international flight, combined syndromic exit and entry screening will fail to detect approximately 65% of infected travellers (95% CrI: 38–76%). The relatively short onset-to-severe-disease interval (mean approximately four days) means that symptomatic travellers progress to detectable illness quickly, yet the incubation period (approximately 7.7 days) means that most infected travellers will board before symptom onset. Exit syndromic screening sensitivity has a larger marginal effect on the undetected fraction than entry screening sensitivity, because it acts on a larger at-risk window: any traveller already symptomatic at departure can be caught at exit, whereas entry screening only adds value for those who become symptomatic during the flight or who were missed due to imperfect screening at exit. When exit screening is absent entirely (sensitivity 0%) but entry screening is maintained at 86%, 67% of travellers remain undetected, compared with 73% when entry screening is absent and exit is maintained at 86%. This asymmetry reflects the longer opportunity for symptom detection that the pre-flight period provides relative to the flight itself.</t>
  </si>
  <si>
    <t>Authors used a stochastic individual-based simulation model to evaluate the probability that a Bundibugyo ebolavirus disease (BVD) infected traveller would be detected at (i) exit screening before departure, (ii) as severely ill during the flight, (iii) at entry screening on arrival, or (iv) remain undetected throughout, using natural-history parameters from a Bayesian re-analysis of the 2012 Isiro outbreak.  Natural-history parameters (incubation period, onset-to-severe-disease delay) are derived from the 2007 Uganda and 2012 DRC BVD outbreaks. The epidemic doubling time range used in the growth-phase sensitivity analysis is estimated from the current outbreak.</t>
  </si>
  <si>
    <t>Estimation of the importation risk of Bundibugyo virus into the EU/EEA in June 2026</t>
  </si>
  <si>
    <t>https://www.ecdc.europa.eu/en/publications-data/estimation-importation-risk-bundibugyo-virus-eueea-june-2026</t>
  </si>
  <si>
    <t>Based on mathematical modelling, the authors estimate approximately one importation of  Bundibugyo virus (BDBV) per 24 000 travellers (90% Uncertainty Interval, UI: 13 000–54 000) from the main outbreak region (North Kivu and Ituri, DRC) to the EU/EEA.  The authors also estimate the probability of at least one BDBV importation into the EU/EEA from 11–25 June 2026 to be 0.45% (90% UI: 0.20%–0.85%), under the hypothetical assumption that 100 people travel from the outbreak region to the EU/EEA during this period.</t>
  </si>
  <si>
    <t>Epidemiological Parameter - Estimates of outbreak size or duration: While sporadic BDBV importations into the EU/EEA cannot be ruled out, mathematical modelling suggests that the probability of importation from 11 to 25 June is very low. These results apply to importation of BDBV from the general population of Ituri and North Kivu. Humanitarian aid workers or healthcare care personnel returning from the outbreak region to the EU/EEA, who the authors assume would be medically evacuated from the affected areas with application of appropriate infection prevention and control measures, need to be considered separately. As one BDBV importation is expected per 24 000 travellers from the outbreak region, the vast majority of travellers will not be infected. However, since early symptoms of BDBV infections overlap with many other conditions, a potentially large number of travellers will show similar symptoms as BDBV infections without being infected with BDBV (i.e. false positives).</t>
  </si>
  <si>
    <t>The authors used a two-step approach to estimate the risk of importation of BDBV into the EU/EEA. First, they developed a compartmental model for the BDBV transmission. The model concentrates in the Ituri and North Kivu provinces in DRC, where most BDBV infections have been reported from. The study period was defined as 11–25 June 2026. The estimated population size of the outbreak region is 𝑁 = 13,392,200. The mathematical model in the first step partitions the population of the outbreak region into six compartments or disease states: those not infected (susceptible); those who are exposed, which we defined as those who are infected but not yet infectious (latently infected); those who are infectious and will recover; those who are infectious and will die; those who recovered; and the deceased. In the second step, the authors build on the output of the mathematical model to estimate the probability of at least one BDBV importation into the EU/EEA.</t>
  </si>
  <si>
    <t>Risk classification and contact tracing of travellers returning from affected areas – Ebola disease outbreak 2026 caused by Bundibugyo virus</t>
  </si>
  <si>
    <t>https://www.ecdc.europa.eu/en/publications-data/risk-classification-and-contact-tracing-travellers-returning-affected-areas-ebola</t>
  </si>
  <si>
    <t>The table and accompanying algorithm provide guidance for EU/EEA public health authorities, decision-makers, and healthcare professionals on risk categorisation and management of individuals potentially exposed to Ebola disease. The guidance applies to contacts of confirmed or probable cases following travel to, residence in, or work in Ebola outbreak-affected areas, as well as to occupational exposures. As long as an outbreak is ongoing, individuals arriving from affected regions may develop Ebola disease after entering non-affected countries, therefore, minimising transmission relies on rapid case detection and isolation, effective contact tracing, and strict infection prevention and control (IPC) measures.</t>
  </si>
  <si>
    <t>Clinical Laboratory Biosafety Measures in Viral Hemorrhagic Fever Investigations</t>
  </si>
  <si>
    <t>https://www.publichealthontario.ca/-/media/Documents/Lab/vhf-investigations-clinical-laboratory-biosafety-measures.pdf?rev=df9943dbd6d84d7bb812cf7d4fbf7e3c&amp;sc_lang=en</t>
  </si>
  <si>
    <t>This document provides biosafety guidance for clinical laboratories handling specimens from patients under investigation for viral hemorrhagic fever (VHF), including disease caused by risk group 4 viruses such as orthoebolaviruses (e.g., Bundibugyo virus). Its purpose is to support timely clinical testing needed for patient assessment and care, while minimizing risk to laboratory personnel and limiting unnecessary disruptions to laboratory operations. This guidance is intended to inform local risk assessments and operational decisions in diagnostic clinical laboratory settings.</t>
  </si>
  <si>
    <t>Viral Hemorrhagic Fever (VHF)  Clinical Risk Assessment Tool</t>
  </si>
  <si>
    <t>https://www.publichealthontario.ca/-/media/Documents/V/25/vhf-risk-assessment-checklist.pdf?rev=1932ed8d33694a8898e3826a910d231c&amp;sc_lang=en</t>
  </si>
  <si>
    <t>HariyantoTI, et al, (2026), Journal of medical virology</t>
  </si>
  <si>
    <t>Ebola in the Democratic Republic of the Congo: Are We Prepared for the Next Global Threat?</t>
  </si>
  <si>
    <t>10.1002/jmv.71013</t>
  </si>
  <si>
    <t>http://onlinelibrary.wiley.com/journal/10.1002/(ISSN)1096-9071 https://ovidsp.ovid.com/ovidweb.cgi?T=JS&amp;PAGE=reference&amp;D=emedx&amp;NEWS=N&amp;AN=2046220984 http://CT4XW3QJ9Z.search.serialssolutions.com/?url_ver=Z39.88-2004&amp;rft_val_fmt=info:ofi/fmt:kev:mtx:journal&amp;rfr_id=info:sid/Ovid:emedx&amp;rft.genre=article&amp;rft_id=info:doi/10.1002%2Fjmv.71013&amp;rft_id=info:pmid/&amp;rft.issn=0146-6615&amp;rft.volume=98&amp;rft.issue=6&amp;rft.spage=e71013&amp;rft.pages=&amp;rft.date=2026&amp;rft.jtitle=Journal+of+Medical+Virology&amp;rft.atitle=Ebola+in+the+Democratic+Republic+of+the+Congo%3A+Are+We+Prepared+for+the+Next+Global+Threat%3F&amp;rft.aulast=Hariyanto</t>
  </si>
  <si>
    <t>https://onlinelibrary.wiley.com/doi/10.1002/jmv.71013</t>
  </si>
  <si>
    <t>Simulation of safe and dignified burial for control of Bundibugyo Ebola virus epidemics</t>
  </si>
  <si>
    <t>https://cmmid.github.io/topics/ebola-bvd/safe-dignified-burial.html</t>
  </si>
  <si>
    <t>Safe and dignified burial (SDB) significantly reduces Ebola transmission by lowering the reproduction number (R), with high coverage and effectiveness being critical to achieving epidemic control or extinction, particularly under low transmissibility conditions. The longer it takes for SDB to get underway, the harder it will take to bring outbreaks under control and it may be efficient to preposition and activate SDB even in areas where no transmission is yet observed which may prevent geographic spillover.</t>
  </si>
  <si>
    <t>Transmission &amp; Epidemiological Parameter - Estimates of outbreak size or duration: Under certain conditions of low transmissibility, SDB could make the difference between outbreak propagation and extinction. 
Public Health Measures - other: The combination of highly performant SDB and isolation and case management would probably make a formidable contribution to transmission. Moreover, SDB as a trust-building measure is likely to encourage care-seeking and case reporting, and could thus act synergistically with other interventions.</t>
  </si>
  <si>
    <t>The authors constructed a simple stochastic transmission dynamic model of BVD, using a standard compartmental structure and a random mixing assumption, modified only to allow for deceased cases to contribute to transmission before they are buried. Susceptible cases move to the incubating state based on a force of infection 𝜆; they become symptomatic and thus infectious with flow rate 𝑟1: while in this state they influence 𝜆 based on 𝑅𝐼, mean transmissibility during this state. They move out of the infectious period when their illness ends (𝑟2), either dying (case-fatality ratio 𝜇) or surviving (1 −𝜇). Of those who die, a proportion 𝛾 (coverage) receive SDB and influence 𝜆 based on an 𝑅𝐷 attenuated by the effect of SDB (𝛿𝜑) at whatever level of effectiveness 𝜑 it is being implemented with (see below), while the remainder (1 − 𝛾) influence 𝜆 based on an unattenuated 𝑅𝐷. All dead persons are eventually buried with rate 𝑟3, thereby joining survivors in the Removed state.</t>
  </si>
  <si>
    <t>Overview of available modelling evidence to inform the scale and potential spread of Bundibugyo virus in the current Ebola disease outbreak</t>
  </si>
  <si>
    <t>https://www.ecdc.europa.eu/en/publications-data/overview-available-modelling-evidence-inform-scale-and-potential-spread</t>
  </si>
  <si>
    <t>https://www.ecdc.europa.eu/sites/default/files/documents/modelling-evidence-bundibugyo-virus.pdf</t>
  </si>
  <si>
    <t>This overview assessed the modelling evidence to inform scale and spread of BDBV in DRC and Uganda. Multiple modelling groups suggest that the true size of the outbreak is larger than reported with one model estimating that cumulative infections as of 13 June were between 3.0 and 10.2 times the reported number of cases (90% credible interval). Current modelling estimates are highly uncertain due to data limitations. Relative risk of importation is highest in Rwanda, Tanzania and Kenya and low risk risk in EU/EEA.</t>
  </si>
  <si>
    <t>Epidemiological Parameter - ESTIMATES OF OUTBREAK SIZE AND DURATION:
The MRC Centre for Global Infectious Disease Analysis at Imperial College London estimated that, as of 16 May 2026, the true number of infections was between 1.2 and 2.4 times the reported case count. The Epistorm group, led by Northeastern University in the United States (US) and supported by the US Centers for Disease Control and Prevention (US CDC), estimated the size of the outbreak around the same date to be 1.16 (90% credible interval (CrI): 0.4–2.7) times larger than reported. Epiforecasts, a consortium that includes modellers from the London School of Health and Tropical Medicine, has been continuously updating its estimates of the outbreak size. On 13 June, they estimated that the true number of infections was between 3.0 and 10.2 times higher than reported (90% CrI).
Relative risk of importation (i.e. the share of risk allocated to a location) is higher for the countries with the highest connectivity to the outbreak areas, with Rwanda, Tanzania and Kenya identified as the countries with the highest relative risk. Estimates of absolute risk of importation (i.e. the probability of risk to a particular country or locality) into the EU/EEA under current prevalence levels and assuming historical travel patterns suggest only a remote chance of importation in the next two-week period. European countries with the highest connectivity to the current outbreak areas are at higher relative risk of importation; these include the UK, Belgium, Germany France and Italy.   Mid-term scenario projections from US CDC suggest a 65% probability of over 20 000 infections over the next three months under the assumption that 20% of patients are effectively isolated and no other control measures are implemented. 
MORTALITY:
Epiforecasts conducted a model fitted to multiple surveillance data streams (suspected and confirmed cases and deaths in DRC, and exported cases and deaths in Uganda) estimated a CFR 0.28 to 0.61 (90% CrI).
The WHO reported that between May 2026 to present (DRC and Uganda)  CFR is 17.4% (93 deaths of 534 cases). Other historical outbreaks reported CFR ranging from 0-88% depending on the country and outbreak.
REPRODUCTION NUMBER:
Epiforecasts conducted a model fitted to multiple surveillance data streams (suspected and confirmed cases and deaths in DRC, and exported cases and deaths in Uganda) estimated a reproduction number (R0) of 1.29 to 3.06 (90%CrI).</t>
  </si>
  <si>
    <t>ECDC experts conducted a pragmatic assessment of the modelling evidence available at the time of writing. Given the rapidly evolving nature of the outbreak and the need to support situational awareness, a formal systematic or rapid review methodology was not used. The assessment drew on the authors’ participation in international modelling networks and communities of practice, discussions with subject-matter experts, engagement with modelling groups actively working on the outbreak, and monitoring of publicly available reports, preprints, publications and technical outputs relevant to the ongoing outbreak.
At this early stage of the outbreak, modelling is constrained by limited data and considerable uncertainty around key epidemiological parameters. Consequently, analyses rely on assumptions and parameter estimates derived from previous outbreaks, which may not fully reflect the current situation. Multiple combinations of parameter values can plausibly explain the available observations, meaning that a wide range of model projections may be consistent with the data. Such variation primarily reflects uncertainty about the outbreak itself rather than differences in model quality. In addition, modelling assumptions, parameter choices and the interpretation of results may be influenced by analysts’ prior expectations, methodological preferences or the framing of the questions being addressed.</t>
  </si>
  <si>
    <t>Preparedness and response for imported cases of Ebola disease into an EU/EEA country</t>
  </si>
  <si>
    <t>https://www.ecdc.europa.eu/en/publications-data/preparedness-and-response-imported-cases-ebola-disease-eueea-country</t>
  </si>
  <si>
    <t>This report presents an overview of health preparedness and response planning elements for the potential importation of a case of Ebola disease into a European Union/European Economic Area (EU/EEA) Member State health system. This document is organised into four focus areas, representing the potential health system contact points of an imported Ebola disease case. All four areas must operate effectively and in coordination with public health services to prevent further community transmission.</t>
  </si>
  <si>
    <t>Infection Prevention and Control - General workflow guidance: The four focus areas highlighted in this document include: Potential health system first contact for an unknown case of Ebola disease,  In-country transport of a probable or confirmed case of Ebola disease, Designated treatment facility for Ebola disease case(s), Medical evacuation of an Ebola disease case and Overarching public health planning elements.  For each focus area, a checklist is presented as a stand-alone table, subdivided into the organisational capabilities required to: prepare for the possibility of an imported Ebola disease case: ‘Planning, protocols and training'; recognise individuals as Persons Under Investigation (PUI) or probable cases of Ebola disease: ‘Case Recognition’; manage PUI, probable or confirmed Ebola disease patient effectively, while ensuring the safety of staff who come into contact with them: ‘Patient Management and Staff Protection’.    
Public Health Measures - Other: This document also presents an overall preparedness checklist which can serve as a template for public health planning of the response to an imported case of Ebola disease case. This checklist sets out the system elements to plan without outlining the organisational competencies in detail. System elements include: public health preparedness planning, health care infrastructure, and risk communication and community engagement – Infodemic Management (RCCEIM).</t>
  </si>
  <si>
    <t>This document was developed in the context of the ECDC Public Health Emergency for the Ebola outbreak 2026, drawing  upon multiple ECDC documents on public health preparedness and planning that can assist countries in their overall public health planning for such an event as well as aviation stakeholder guidance.</t>
  </si>
  <si>
    <t>Broad-spectrum Ebola vaccine</t>
  </si>
  <si>
    <t>https://www.nature.com/articles/s41587-026-03191-4</t>
  </si>
  <si>
    <t>AbdiAM, et al, (2026), New Microbes and New Infections</t>
  </si>
  <si>
    <t>Why is there still no licensed vaccine for Bundibugyo ebolavirus? Lessons from the 2026 outbreaks in Uganda and the Democratic Republic of Congo</t>
  </si>
  <si>
    <t>10.1016/j.nmni.2026.101789</t>
  </si>
  <si>
    <t>https://www.sciencedirect.com/science/journal/20522975 https://ovidsp.ovid.com/ovidweb.cgi?T=JS&amp;PAGE=reference&amp;D=emedx&amp;NEWS=N&amp;AN=2046391487 http://CT4XW3QJ9Z.search.serialssolutions.com/?url_ver=Z39.88-2004&amp;rft_val_fmt=info:ofi/fmt:kev:mtx:journal&amp;rfr_id=info:sid/Ovid:emedx&amp;rft.genre=article&amp;rft_id=info:doi/10.1016%2Fj.nmni.2026.101789&amp;rft_id=info:pmid/&amp;rft.issn=2052-2975&amp;rft.volume=72&amp;rft.issue=&amp;rft.spage=101789&amp;rft.pages=&amp;rft.date=2026&amp;rft.jtitle=New+Microbes+and+New+Infections&amp;rft.atitle=Why+is+there+still+no+licensed+vaccine+for+Bundibugyo+ebolavirus%3F+Lessons+from+the+2026+outbreaks+in+Uganda+and+the+Democratic+Republic+of+Congo&amp;rft.aulast=Abdi</t>
  </si>
  <si>
    <t>https://linkinghub.elsevier.com/retrieve/pii/S2052297526000934</t>
  </si>
  <si>
    <t>ThompsonB, et al, (2026), Nature</t>
  </si>
  <si>
    <t>Major Ebola outbreak is escalating: what happens next</t>
  </si>
  <si>
    <t>10.1038/d41586-026-01660-z</t>
  </si>
  <si>
    <t>https://www.nature.com/nature/ https://ovidsp.ovid.com/ovidweb.cgi?T=JS&amp;PAGE=reference&amp;D=emedx&amp;NEWS=N&amp;AN=2046059673 http://CT4XW3QJ9Z.search.serialssolutions.com/?url_ver=Z39.88-2004&amp;rft_val_fmt=info:ofi/fmt:kev:mtx:journal&amp;rfr_id=info:sid/Ovid:emedx&amp;rft.genre=article&amp;rft_id=info:doi/10.1038%2Fd41586-026-01660-z&amp;rft_id=info:pmid/42174170&amp;rft.issn=0028-0836&amp;rft.volume=&amp;rft.issue=&amp;rft.spage=&amp;rft.pages=&amp;rft.date=2026&amp;rft.jtitle=Nature&amp;rft.atitle=Major+Ebola+outbreak+is+escalating%3A+what+happens+next&amp;rft.aulast=Thompson</t>
  </si>
  <si>
    <t>https://www.nature.com/articles/d41586-026-01660-z</t>
  </si>
  <si>
    <t>Big Ebola outbreak puts research spotlight on little-known virus</t>
  </si>
  <si>
    <t>10.1126/science.aej7944</t>
  </si>
  <si>
    <t>http://europepmc.org/abstract/MED/42313969 https://doi.org/10.1126/science.aej7944</t>
  </si>
  <si>
    <t>https://doi.org/10.1126/science.aej7944</t>
  </si>
  <si>
    <t>Tonen-Wolyec, et al, (2026), The New England journal of medicine</t>
  </si>
  <si>
    <t>The Social Contract of Bundibugyo Ebola Isolation</t>
  </si>
  <si>
    <t>10.1056/nejmp2607429</t>
  </si>
  <si>
    <t>http://europepmc.org/abstract/MED/42308499 https://doi.org/10.1056/NEJMp2607429</t>
  </si>
  <si>
    <t>https://www.nejm.org/doi/10.1056/NEJMp2607429</t>
  </si>
  <si>
    <t>A Single-Dose Bundibugyo Virus Vaccine Protects Macaques Within 3 Days</t>
  </si>
  <si>
    <t>10.64898/2026.06.14.732188</t>
  </si>
  <si>
    <t>http://europepmc.org/abstract/PPR/PPR1253410 https://doi.org/10.64898/2026.06.14.732188</t>
  </si>
  <si>
    <t>https://doi.org/10.64898/2026.06.14.732188</t>
  </si>
  <si>
    <t>Authors evaluated the rapid protection by a single-dose vaccination of vesicular stomatitis virus - Bundibugyo virus (VSV-BDBV) in  cynomolgus macaques (n=5) and showed that vaccination elicited rapid innate and early adaptive immune responses and conferred complete protection from clinical disease against BDBV challenge within 3 days. Vaccinated cynomolgus macaques exhibited minimal clinical signs, limited systemic inflammation, and no infectious virus was isolated from the blood at any time; protection correlated with neutralizing antibodies and Fc effector functionality of the humoral immune response.</t>
  </si>
  <si>
    <t>Vaccine immunity - Protection from infection and other disease outcomes (efficacy/effectiveness): A control group received the VSV-Marburg virus (VSV-MARV) vaccine at 1×107 PFU by the  intramuscular route 7 days prior to BDBV challenge and resulted in 60% lethality. Viral load quantification showed that the control non-human primates (NHP) developed high titer viremia, specifically the NHPs that succumbed to disease, while the VSV-BDBV-vaccinated NHPs displayed no or low viral RNA levels. No infectious virus was recovered at any time point from the blood of all vaccinated NHPs, BDBV RNA was absent in all swab samples obtained from the vaccinated NHPs
Vaccine immunity - Measures of protective immunity (antibodies/titres/cytokines): The demonstration of rapid onset of protection for species-specific VSV-based vaccines against the human-pathogenic filoviruses indicates that this may be an intrinsic property of the VSV platform dominated early on by the robust innate immune response. The protective efficacy of VSV-based filovirus vaccines altogether, however, is species-specific, driven primarily by the antibody responses directed against the viral GP antigens. Rapid protection appears to be associated with the induction of early antiviral innate immune responses coupled with the accelerated development of functional GP-specific antibodies. Consistent with a benign clinical disease course, vaccinated NHPs exhibited minimal cytokine dysregulation following challenge. Pro-inflammatory cytokines characteristic of severe EBOD, including IL-6, TNF-α, IFN-α, IFN-β, and IFN-ψ, were markedly reduced compared to the control NHPs.</t>
  </si>
  <si>
    <t>Fifteen male cynomolgus macaques (Macaca fascicularis) 6-11 years of age and 5.5–7.9 kg in weight were used for this study and randomly assigned to vaccination groups. Group sizes of n = 5 were determined to be required by power analysis using log-rank test in graph pad/prism under the assumption that 40% of the control animals may survive the infection. To determine a shortened time from vaccination to challenge resulting in uniform protection from disease caused by BDBV infection, cynomolgus macaques (n=5 per group) received a single intramuscular (IM) dose of VSV–BDBV (1×107 PFU) either 7 or 3 days prior to IM challenge with 10,000 median tissue culture infectious dose (TCID50) of BDBV. A control group received the VSV-Marburg virus (VSV-MARV) vaccine at 1×107 PFU by the IM route 7 days prior to BDBV challenge. The total white blood cell, neutrophil, lymphocyte, and platelet counts were determined from EDTA blood with the IDEXX ProCyte DX analyzer (IDEXX Laboratories, Westbrook, ME). Serum biochemistry including aspartate aminotransferase (AST), alkaline phosphatase (ALP), alanine aminotransferase (ALT), glucose, blood urea nitrogen, creatinine, and total bilirubin was analyzed on a Vetscan 2 using Preventive care profile disks (Abaxis, Union City, CA).</t>
  </si>
  <si>
    <t>Bundibugyo Virus Disease: Diagnostics and Medical Countermeasures for a Neglected Ebolavirus</t>
  </si>
  <si>
    <t>10.20944/preprints202606.0743.v1</t>
  </si>
  <si>
    <t>http://europepmc.org/abstract/PPR/PPR1252590 https://doi.org/10.20944/preprints202606.0743.v1</t>
  </si>
  <si>
    <t>https://doi.org/10.20944/preprints202606.0743.v1</t>
  </si>
  <si>
    <t>WHO guidelines for the clinical management of filovirus disease: executive summary</t>
  </si>
  <si>
    <t>https://www.who.int/publications/i/item/B09786</t>
  </si>
  <si>
    <t>The guidelines address key clinical interventions to improve outcomes for patients with suspected or confirmed filovirus disease. Recommendations cover systematic clinical and laboratory monitoring, oral and intravenous fluid management, assessment and treatment of shock, use of vasopressors, central venous access, antimicrobial therapy, management of haemorrhage and postpartum haemorrhage, and structured follow-up for survivors. Emphasis is placed on high-quality supportive care, individualized clinical decision-making and integration with infection prevention and control measures.</t>
  </si>
  <si>
    <t>Public health risk assessment related to Ebola disease due to Bundibugyo virus: implications for the Americas Region. 18 June 2026</t>
  </si>
  <si>
    <t>https://www.paho.org/en/documents/public-health-risk-assessment-related-ebola-disease-due-bundibugyo-virus-implications</t>
  </si>
  <si>
    <t>This risk assessment is based on data available as of 7 June 2026 (Uganda) and 6 June 2026 (Democratic Republic of the Congo). The overall risk posed by this event to the Americas Region is classified as "Low" with a "High" confidence level based on the available information. The risk assessment will be reviewed if more epidemiological, clinical, or virological information becomes available.</t>
  </si>
  <si>
    <t>Communicable disease threats report, 13 - 18 June 2026, Week 25</t>
  </si>
  <si>
    <t>https://www.ecdc.europa.eu/en/publications-data/communicable-disease-threats-report-13-18-june-2026-week-25</t>
  </si>
  <si>
    <t>Bundibugyo Ebolavirus outbreak in the Democratic Republic of the Congo and Uganda: rapid assessment from the European Society of Clinical Microbiology and Infectious Diseases Emerging Infections Subcommittee</t>
  </si>
  <si>
    <t>https://ovidsp.ovid.com/ovidweb.cgi?T=JS&amp;PAGE=reference&amp;D=medp&amp;NEWS=N&amp;AN=42219033 http://CT4XW3QJ9Z.search.serialssolutions.com/?url_ver=Z39.88-2004&amp;rft_val_fmt=info:ofi/fmt:kev:mtx:journal&amp;rfr_id=info:sid/Ovid:medp&amp;rft.genre=article&amp;rft_id=info:doi/10.1016%2Fj.cmi.2026.05.042&amp;rft_id=info:pmid/42219033&amp;rft.issn=1198-743X&amp;rft.volume=&amp;rft.issue=&amp;rft.spage=&amp;rft.pages=&amp;rft.date=2026&amp;rft.jtitle=Clinical+Microbiology+%26+Infection&amp;rft.atitle=Bundibugyo+Ebolavirus+outbreak+in+the+Democratic+Republic+of+the+Congo+and+Uganda%3A+rapid+assessment+from+the+European+Society+of+Clinical+Microbiology+and+Infectious+Diseases+Emerging+Infections+Subcommittee.&amp;rft.aulast=Gupta</t>
  </si>
  <si>
    <t>van Zandvoort, et al, (2026), Euro Surveillance: Bulletin Europeen sur les Maladies Transmissibles = European Communicable Disease Bulletin</t>
  </si>
  <si>
    <t>The risk of global Ebola virus spread is low: epidemiology of Ebola disease cases outside Africa, 1976 to May 2026</t>
  </si>
  <si>
    <t>10.2807/1560-7917.ES.2026.31.24.2600508</t>
  </si>
  <si>
    <t>https://ovidsp.ovid.com/ovidweb.cgi?T=JS&amp;PAGE=reference&amp;D=mesx&amp;NEWS=N&amp;AN=42318654 http://CT4XW3QJ9Z.search.serialssolutions.com/?url_ver=Z39.88-2004&amp;rft_val_fmt=info:ofi/fmt:kev:mtx:journal&amp;rfr_id=info:sid/Ovid:mesx&amp;rft.genre=article&amp;rft_id=info:doi/10.2807%2F1560-7917.ES.2026.31.24.2600508&amp;rft_id=info:pmid/42318654&amp;rft.issn=1025-496X&amp;rft.volume=31&amp;rft.issue=24&amp;rft.spage=&amp;rft.pages=&amp;rft.date=2026&amp;rft.jtitle=Euro+Surveillance%3A+Bulletin+Europeen+sur+les+Maladies+Transmissibles+%3D+European+Communicable+Disease+Bulletin&amp;rft.atitle=The+risk+of+global+Ebola+virus+spread+is+low%3A+epidemiology+of+Ebola+disease+cases+outside+Africa%2C+1976+to+May+2026.&amp;rft.aulast=van+Zandvoort</t>
  </si>
  <si>
    <t>https://www.eurosurveillance.org/content/10.2807/1560-7917.ES.2026.31.24.2600508</t>
  </si>
  <si>
    <t>This study assessed global Ebola transmission by evaluating 28 confirmed Ebola cases outside of Africa (25 primary imported cases and three secondary cases in the US or Europe) of which 27 occurred in 2014-2016 and one case in May 2026. The crude overall risk of exportation was 0.81 cases per 1000 Ebola cases outside of Africa including medically evacuated, latent and secondary cases.  The four latent cases from 300,000 were asymptomatic at screening at exit and entry, suggesting clear guidance on self-monitoring of symptoms for rapid isolation.</t>
  </si>
  <si>
    <t>PHM- BORDER MEASURES:
 The four latent cases identified occurred among 300,000 travellers screened by the US Centers for Disease Control and Prevention (CDC)-supported exit screening programmes in Guinea, Liberia and Sierra Leone, and all were asymptomatic (and hence undetectable) at the point of both exit screening and entry screening. Screening protocols included clear guidance on procedures for self-monitoring of symptoms [9], which ultimately led to rapid confirmation and isolation among the three latent cases in medical workers.
CLINICAL DATA: The study identified four latent Ebola cases exported during the 2014–16 epidemic, all initially asymptomatic at screening but later presenting with acute symptoms (fever, respiratory distress, weakness) that required hospitalization. These cases highlight the challenge of early detection, as three were healthcare workers who self-isolated upon symptom onset, while one traveler was misdiagnosed initially. In Europe, 17 confirmed Ebola cases were found since 1976 of whom, 16 occurred during the 2014-2016 Ebola disease epidemic and one during the 2026 Bundibugyo virus epidemic. In North America, 11 confirmed Ebola cases were identified since 1976 and all 11 cases occurred during the 2014-16 Ebola epidemic. Overall, of the 28 confirmed Ebola disease cases, five died. All three secondary cases were due to nosocomial infection of healthcare workers treating a known Ebola disease patient.
Epidemiological Parameter - RISK FACTORS FOR INFECTION: Of the 28 confirmed cases identified, three secondary cases were due to nosocomial infection of healthcare workers treating a known Ebola disease patient. 
The vast majority of Ebola cases outside Africa (27 of 28) were either primary cases in individuals with occupational/exposure-related roles (e.g., healthcare workers, responders) or secondary cases in healthcare workers treating imported patients. Only one case occurred in a traveler without such exposure, which is concerning as it led to further transmission. However, the overall risk of exportation remains low and can be effectively reduced through infection control measures, travel screening, and monitoring of response workers, as aligned with WHO guidelines.
Epidemiological Parameter - ESTIMATES FOR OUTBREAK SIZE AND DURATION:
 The authors calculated a crude risk estimate of 0.81 cases outside Africa, including medically evacuated, latent and secondary cases, per 1,000 Ebola disease cases in a source outbreak.  Focusing on latent cases and their secondary cases only, there have been 0.17 cases outside Africa per 1,000 Ebola disease cases in the source outbreak. 
For cases exported from the 2014–16 epidemic in Western Africa, we carried out a time-varying risk analysis using Poisson regression of the number of exported cases for a given epidemiological week and country. Over the course of the epidemic, the case exportation risk per reported source outbreak case decreased by 4.6% per week (95% CI: 1.7–7.4%; p = 0.0097). More generally, the case exportation risk was substantially lower after the epidemic peak (0.46; 95% CI: 0.17–0.73 exported cases per 1,000 source cases from 27 October 2014 onwards) than it was before the peak (1.7; 95% CI: 0.95–2.7 exported cases per 1,000 source cases). This represents a 73% reduction in exportation risk per outbreak case between these two periods.</t>
  </si>
  <si>
    <t>Researchers used manual and AI-assisted internet searches to identify all laboratory-confirmed Ebola cases outside Africa, reviewing scientific articles, public health bulletins, and news reports to compile data from 27 studies, 9 bulletins, 82 news articles, and 9 other sources. The study included only confirmed cases of Bundibugyo, Ebola, and Sudan virus infections, excluding suspected cases, lab-acquired injuries, and Reston virus infections, to focus on epidemiologically relevant human transmissions.</t>
  </si>
  <si>
    <t>Bundibugyo virus outbreak: when a concerning pathogen meets a humanitarian emergency</t>
  </si>
  <si>
    <t>10.1038/s41579-026-01332-9</t>
  </si>
  <si>
    <t>http://europepmc.org/abstract/MED/42321400 https://doi.org/10.1038/s41579-026-01332-9</t>
  </si>
  <si>
    <t>https://www.nature.com/articles/s41579-026-01332-9</t>
  </si>
  <si>
    <t>Lancet, et al, (2026), The Lancet</t>
  </si>
  <si>
    <t>Responding to Ebola: a test</t>
  </si>
  <si>
    <t>10.1016/S0140-6736</t>
  </si>
  <si>
    <t>https://www.sciencedirect.com/science/journal/01406736 https://ovidsp.ovid.com/ovidweb.cgi?T=JS&amp;PAGE=reference&amp;D=emexb&amp;NEWS=N&amp;AN=2046056510 http://CT4XW3QJ9Z.search.serialssolutions.com/?url_ver=Z39.88-2004&amp;rft_val_fmt=info:ofi/fmt:kev:mtx:journal&amp;rfr_id=info:sid/Ovid:emexb&amp;rft.genre=article&amp;rft_id=info:doi/10.1016%2FS0140-6736%252826%252901100-1&amp;rft_id=info:pmid/42242244&amp;rft.issn=0140-6736&amp;rft.volume=407&amp;rft.issue=10545&amp;rft.spage=2263&amp;rft.pages=2263-2263&amp;rft.date=2026&amp;rft.jtitle=The+Lancet&amp;rft.atitle=Responding+to+Ebola%3A+a+test&amp;rft.aulast=The</t>
  </si>
  <si>
    <t>https://www.sciencedirect.com/science/article/pii/S0140673626011001?via%3Dihub</t>
  </si>
  <si>
    <t>Recommendations: Rapid Synthesis of Social and Behavioural Science learnings on Ebola for the Bundibugyo Virus Outbreak (2026) Ituri, DRC</t>
  </si>
  <si>
    <t>https://www.socialscienceinaction.org/resources/recommendations-rapid-synthesis-of-social-and-behavioural-science-learnings-on-ebola-for-the-bundibugyo-virus-outbreak-2026-ituri-drc/</t>
  </si>
  <si>
    <t>This briefing outlines key considerations and recommendations drawn from a rapid synthesis of lessons learned from prior social and behavioural science (SBS) research highlighting that Ebola response in Ituri must prioritize trust-building by addressing historical grievances and avoiding coercive tactics, with tailored infection prevention, contact tracing, and border management that respect local social networks and languages. Additionally, emphasis is placed on effective community engagement, which requires partnering with trusted leaders, vulnerable groups, and high-risk occupations (e.g., boda boda drivers) while adapting safe burials and risk communication to cultural contexts and actionable, multilingual guidance.</t>
  </si>
  <si>
    <t>Public Health Measures: Border communities between DRC and neighboring countries are deeply interconnected, with daily cross-border movement for essential activities like farming, water collection, market access, and healthcare which is driven by perceived better health services in Uganda. Past messaging restricting border crossings pushed people toward riskier, undetectable routes (panya routes), while boda boda taxi drivers and informal trade networks (including state-involved smuggling) continue to facilitate movement, even after Uganda’s shutdown of lake border crossings, which persist informally via unregulated points. Community networks can improve early disease detection and access to care; past evidence shows cases were referred to an integrated treatment centre with EVD testing and isolation. 
Infection Prevention and Control (IPC) - General workflow guidance: IPC guidance needs to be  in community health facilities, where health worker fatalities have occurred, and extended to caregivers and high-risk groups like boda boda drivers and market vendors. In eastern DRC, heightened fear among these public-facing occupations requires actionable, tailored IPC measures that prioritize safety without stigmatization, addressing their unique risks while maintaining community trust.
Indirect impacts - Social (lifestyle/behavior changes): Past SBS research in eastern DRC on Ebola outbreaks has shown an ‘atmosphere of mistrust’ in interactions between responders and communities, rooted in historical grievances like colonial violence, perceived humanitarian exploitation, and political manipulation (e.g., "Ebola as a business" during the 2018–20 outbreak). This mistrust is fueled by inconsistent resource allocation, contested authority, and unmet humanitarian needs during non-epidemic periods, making fear-based or context-blind responses likely to fail. However, SBS research demonstrates that localized, trust-building actions such as family-inclusive treatment centers, respectful burials, and media engagement with trusted community figures can humanize the response and foster cooperation</t>
  </si>
  <si>
    <t>The authors conducted a rapid synthesis including lessons learned from prior Ebola social and behavioural science (SBS) research and highlights critical insights for response efforts. It highlights critical insights for locally adapted and contextually informed response efforts that take account of the broader humanitarian crisis.</t>
  </si>
  <si>
    <t>MohammedAA, et al, (2026), Journal of Virus Eradication</t>
  </si>
  <si>
    <t>Ebola Bundibugyo resurgence in eastern Democratic Republic of Congo: Implications for regional surveillance and preparedness</t>
  </si>
  <si>
    <t>10.1016/j.jve.2026.100630</t>
  </si>
  <si>
    <t>https://www.sciencedirect.com/science/journal/20556640 https://ovidsp.ovid.com/ovidweb.cgi?T=JS&amp;PAGE=reference&amp;D=emedx&amp;NEWS=N&amp;AN=2046618012 http://CT4XW3QJ9Z.search.serialssolutions.com/?url_ver=Z39.88-2004&amp;rft_val_fmt=info:ofi/fmt:kev:mtx:journal&amp;rfr_id=info:sid/Ovid:emedx&amp;rft.genre=article&amp;rft_id=info:doi/10.1016%2Fj.jve.2026.100630&amp;rft_id=info:pmid/&amp;rft.issn=2055-6640&amp;rft.volume=12&amp;rft.issue=3&amp;rft.spage=100630&amp;rft.pages=&amp;rft.date=2026&amp;rft.jtitle=Journal+of+Virus+Eradication&amp;rft.atitle=Ebola+Bundibugyo+resurgence+in+eastern+Democratic+Republic+of+Congo%3A+Implications+for+regional+surveillance+and+preparedness&amp;rft.aulast=Mohammed</t>
  </si>
  <si>
    <t>https://www.sciencedirect.com/science/article/pii/S2055664026000105?via%3Dihub</t>
  </si>
  <si>
    <t>Fanelli, et al, (2026), Journal of travel medicine</t>
  </si>
  <si>
    <t>Estimating importation risk of Bundibugyo Ebola virus disease to Europe under different outbreak expansion scenarios</t>
  </si>
  <si>
    <t>10.1093/jtm/taag055</t>
  </si>
  <si>
    <t>http://europepmc.org/abstract/MED/42324761 https://doi.org/10.1093/jtm/taag055</t>
  </si>
  <si>
    <t>https://doi.org/10.1093/jtm/taag055</t>
  </si>
  <si>
    <t>This study is a published version of a preprint and it estimated the relative importation risk of Bundibugyo to Europe  through air travel under six different outbreak expansion scenarios.  Potential spread across the Ugandan border produced no change compared to the refence scenario. Expansion across the border to South Sudan produced a first structural increase in importation pressure through the connectivity associated to Juba (5-fold increase for Northern Europe and 6-fold increase for Eastern Europe relative to localized transmission in DRC). Hypothetical amplification in Kampala, Kigali, and Kinshasa substantially increased importation pressure (&gt;120 fold and 80 -fold) and reshaped exposure patterns across Europe.</t>
  </si>
  <si>
    <t>Epidemiological Parameters - ESTIMATES OF OUTBREAK SIZE: 
Assessed relative exposure to Ebola virus disease importation into Europe under six outbreak expansion scenarios reflecting plausible pathways of geographical spread, including cross-border transmission and amplification in highly connected regional capitals. 
Potential spread across the Ugandan border produced no change in either the relative exposure of European countries or their overall importation pressure , compared with the reference scenario of established community transmission in Eastern DRC, with Italy, France, Belgium, and the UK being the most exposed. Expansion across the border to South Sudan produced a first structural increase in importation pressure through the connectivity associated to Juba (5-fold increase for Northern Europe and 6-fold increase for Eastern Europe relative to localized transmission in DRC), while still leaving UK, France, and Italy among the highest-risk countries. Further amplification in highly connected capitals in the region substantially altered importation patterns. Kampala and Kigali amplification increased exposure in Northern Europe, with Kampala producing a &gt;120-fold increase in importation pressure relative to the reference scenario. Kinshasa amplification instead primarily reinforced exposure in Western Europe (~80-fold increase). In each case, the inclusion of the capital became the dominant source of importation pressure, reflecting its strong international connectivity.</t>
  </si>
  <si>
    <t>The study assessed Ebola importation risk to Europe using International Air Transport Association origin–destination passenger flow data from 2024. Researchers modeled six outbreak expansion scenarios, including localized transmission in eastern DRC, cross-border spread to Uganda and South Sudan, and hypothetical amplification in major urban hubs (Kampala, Kigali, Kinshasa). The relative risk of importation for each European country was normalized to the total passenger flow from the source airports to Europe.</t>
  </si>
  <si>
    <t>Okingo, et al, (2026), Journal of travel medicine</t>
  </si>
  <si>
    <t>Estimating the introduction risk and sustained transmission of the Ebola Bundibugyo outbreak 2026 in the Democratic Republic of Congo</t>
  </si>
  <si>
    <t>10.1093/jtm/taag057</t>
  </si>
  <si>
    <t>http://europepmc.org/abstract/MED/42324752 https://doi.org/10.1093/jtm/taag057</t>
  </si>
  <si>
    <t>https://academic.oup.com/jtm/advance-article/doi/10.1093/jtm/taag057/8712847</t>
  </si>
  <si>
    <t>The authors estimated introduction risk and sustained transmission potential of the Bundibugyo virus outbreak in the Ituri province, Democratic Republic of the Congo (DRC). They found that introduction risk was highest in the health zones close to the reported  foci, specifically in Ituri, Nord-Kivu, and Haut-Uele. High sustained-transmission potential was distributed across DRC, including Kinshasa, Kasaï-Oriental, Kongo-Central, Tshopo, Nord-Kivu, Haut-Katanga, Sud-Kivu, Kasaï, and Kasaï-Central, suggesting preparedness in health zones with high sustained-transmission potential but lower introduction risk.</t>
  </si>
  <si>
    <t>Epidemiological Parameter - Estimates of outbreak size or duration: 
The authors estimated the potential for an introduced case to generate sustained transmission in the DRC and found that introduction risk was highest in health zones (HZs) close to the reported foci and high sustained-transmission potential was distributed across DRC,  including Kinshasa, KasaïOriental, Kongo-Central, Tshopo, Nord-Kivu, Haut-Katanga, Sud-Kivu, Kasaï, and Kasaï-Central.  Crossing the two rankings identified eight HZs that combined high introduction risk and high sustained-transmission potential: Binza Ozone and Binza Meteo in Kinshasa; Karisimbi in Nord-Kivu; Kadutu and Ibanda in Sud-Kivu; and Makiso-Kisangani, Kabondo, and Mangobo in Tshopo.</t>
  </si>
  <si>
    <t>The authors used multitype branching processes to estimate  for each DRC health zone (HZ), the potential for an introduced case to generate sustained transmission. They used  available population and mobility data to parameterize spatial transmission, testing a broad range of assumptions on disease transmissibility and on how local and between-community contact patterns can be inferred from these data. They then ranked HZs by sustained-transmission potential and compared them with introduction-risk ranks estimated from mobility data.</t>
  </si>
  <si>
    <t>Bepouka, et al, (2026), Antimicrobial resistance and infection control</t>
  </si>
  <si>
    <t>Healthcare-associated transmission and early IPC system vulnerabilities during the 2026 Bundibugyo Ebola outbreak in eastern Democratic Republic of the Congo</t>
  </si>
  <si>
    <t>10.1186/s13756-026-01779-8</t>
  </si>
  <si>
    <t>http://europepmc.org/abstract/MED/42337679 https://doi.org/10.1186/s13756-026-01779-8</t>
  </si>
  <si>
    <t>https://link.springer.com/article/10.1186/s13756-026-01779-8</t>
  </si>
  <si>
    <t>Bundibugyo Ebola in DR Congo and Uganda: community-centred response must be operational, not rhetorical</t>
  </si>
  <si>
    <t>10.1016/s1473-3099(26)00322-1</t>
  </si>
  <si>
    <t>http://europepmc.org/abstract/MED/42335914 https://doi.org/10.1016/S1473-3099(26)00322-1</t>
  </si>
  <si>
    <t>https://www.sciencedirect.com/science/article/pii/S1473309926003221?via%3Dihub</t>
  </si>
  <si>
    <t>Banadyga, et al, (), npj Viruses</t>
  </si>
  <si>
    <t>Development of an immunochromatographic lateral flow assay for the rapid detection of all known orthoebolavirus glycoproteins</t>
  </si>
  <si>
    <t>https://doi.org/10.1038/s44298-026-00209-1</t>
  </si>
  <si>
    <t>https://www.nature.com/articles/s44298-026-00209-1#citeas</t>
  </si>
  <si>
    <t>https://www.nature.com/articles/s44298-026-00209-1</t>
  </si>
  <si>
    <t>This study developed a prototype immunochromatographic lateral flow rapid diagnostic test (ILF -RDT ) that detects the glycoproteins (GPs) from all known orthoebolaviruses, including Bundibugyo virus (BDBV). The ILF-RDT detects both recombinant GP and authentic virus in samples spiked with human blood and experimentally infected animals and non-human primate samples at 7 days post-infection for BDBV, before animals exhibited severe disease. The ILF -RDT detects Ebola virus (EBOV), Sudan virus (SUDV), and BDBV GPs, both EBOV and BDBV GP produced positive results down to 31.2 ng, while SUDV GP was more difficult to interpret, with positive results at 500 and 250 ng but equivocal results at lower amounts of recombinant protein . The ILF -RDT was unable to detect GP from the more distantly related filovirus, Marburg virus, indicating that the test is specific for orthoebolaviruses but does not replace more sensitive diagnostic tests such as RT-qPCR.</t>
  </si>
  <si>
    <t>Diagnostic test accuracy: 
Both EBOV and SUDV (secreted glycoprotein) sGP were detected in this assay, with SUDV sGP producing particularly robust positive results at every dilution tested. After evaluating the performance of the prototype ILF -RDT in the presence of human plasma or whole blood, the RDT detected EBOV GP, EBOV sGP, SUDV sGP, and BDBV GP at amounts as low as 62.5 or 31.2 ng. SUDV GP was clearly detected down to 250 ng, with equivocal results at lower amounts. To determine whether the test could detect authentic virus, SUDV and BDBV all produced clear positive results. The authors also evaluated the assay using whole blood samples obtained from experimentally infected ferrets and macaques and the EBOV-infected ferrets showed clear positive results at 5 days post -infection (DPI), corresponding to a Ct value of ~9, when the animals were severely ill while BDBV-infected ferrets were positive when they tested at 7 days post-infection DPI with CT values around 8 for BDBV. In macaques, 8 of 10 animals, remained positive for EBOV at 7 DPI (with Ct values ~19 -22), with two other animals (#3 and #7) showing very faint bands at the test line. 
While EBOV variants Makona -C07, Kikwit, and Mayinga all produced positive results, Makona -C05 did not. GP sequence analysis revealed only a single amino acid difference between Makona -C07 and Makona -C05, namely a tryptophan to arginine mutation at position 291 (W291R) (Fig. S4B). Importantly, this mutation is rare: analysis of all 2,985 available orthoebolavirus GP sequences in GenBank revealed that only 14 possessed the W291R substitution, with all 14 belonging exclusively to sequences of EBOV variant Makona -C05. A subsequent ELISA demonstrated that monoclonal antibodies (mAb) 5A3, unlike 6H8, did not bind to the GP from Makona -C05, suggesting that the W291R point mutation specifically obstructs binding to the assay ’s capture mAb.</t>
  </si>
  <si>
    <t>The researchers developed an immunochromatographic lateral flow assay (ILF-RDT) by generating orthoebolavirus-specific monoclonal antibodies, conjugating detection antibodies to gold nanoparticles, and spraying capture antibodies onto nitrocellulose membranes. Test strips were assembled with laminated pads, and samples (recombinant proteins, authentic viruses, and infected animal blood) were tested using a specialized running buffer. The assay was validated for specificity and sensitivity, with results confirmed via RT-qPCR and protein sequence analysis.</t>
  </si>
  <si>
    <t>NzanzuTJ, et al, (2026), Student's Journal of Health Research Africa</t>
  </si>
  <si>
    <t>Understanding the epidemiology of Ebola Bundibugyo virus (EBV) in selected populations: a cross-sectional study in Buhendera and Bwamba counties, Bundibugyo district</t>
  </si>
  <si>
    <t>10.51168/sjhrafrica.v7i2.2342</t>
  </si>
  <si>
    <t>https://sjhresearchafrica.org/index.php/public-html/article/view/2342 https://ovidsp.ovid.com/ovidweb.cgi?T=JS&amp;PAGE=reference&amp;D=emedx&amp;NEWS=N&amp;AN=2038261313 http://CT4XW3QJ9Z.search.serialssolutions.com/?url_ver=Z39.88-2004&amp;rft_val_fmt=info:ofi/fmt:kev:mtx:journal&amp;rfr_id=info:sid/Ovid:emedx&amp;rft.genre=article&amp;rft_id=info:doi/10.51168%2Fsjhrafrica.v7i2.2342&amp;rft_id=info:pmid/&amp;rft.issn=3006-1059&amp;rft.volume=7&amp;rft.issue=2&amp;rft.spage=&amp;rft.pages=&amp;rft.date=2026&amp;rft.jtitle=Student%27s+Journal+of+Health+Research+Africa&amp;rft.atitle=Understanding+the+epidemiology+of+Ebola+Bundibugyo+virus+%28EBV%29+in+selected+populations%3A+a+cross-sectional+study+in+Buhendera+and+Bwamba+counties%2C+Bundibugyo+district&amp;rft.aulast=Nzanzu</t>
  </si>
  <si>
    <t>https://doi.org/10.51168/sjhrafrica.v7i2.2342</t>
  </si>
  <si>
    <t>In a cross-sectional study carried out in 6 sites, risk factors, distribution, endemicity and mode of action and transmission of the Ebola-Bundibugyo (EBV) strain after the 2007 outbreak were examined. This study found that EBV was influenced by gender roles (males more exposed through hunting/gathering), limited healthcare access, religious affiliation (Catholics most affected), occupation (farmers near reservoirs at higher risk), low income (increased hunting/gathering), larger family size, cultural practices (sleeping near/washing the dead), climatic conditions (harvest season increasing human-animal contact), and human movement patterns (with Bundibugyo as a central hub).</t>
  </si>
  <si>
    <t>Epidemiological Parameter - RISK FACTORS FOR INFECTION:
Gender: Males were at higher risk due to activities like hunting and gathering wild fruits (58.6% vs. 41.4% females; p &lt; 0.05).
Healthcare Access: Limited access was significant, with 72.2% reporting relatives lacking medical care (p &lt; 0.001).
Religion: Catholics experienced the highest cases (24.5%), followed by SDA (12.9%) and Muslims (17.7%; p &lt; 0.05).
Occupation: Farming near animal reservoirs was critical, as the first outbreak occurred in a maize farmer (p &lt; 0.01).
Income: Low income increased reliance on high-risk activities (p &lt; 0.05).
Family Size: Larger family size showed a significant linear relationship with EBV occurrence (p &lt; 0.001).
Tribe: Tribal differences had no significant impact (p &gt; 0.05).
Climate: Bimodal rainfall and harvesting seasons heightened human-animal interaction (p &lt; 0.05).
Structural characterization: EBV under an electron microscope is an anatomically  helical,  single-stranded,  unsegmented  RNA negative sense virus. Envelope glycoprotein is initially produced as a precursor known as pre-GP, cleaved by furin into two subunits, GP1 and GP2, which remain associated through a disulfide linkage between Cys53 of GP1 and Cys609 of GP2.</t>
  </si>
  <si>
    <t>This cross-section observational study in Bundibugyo District, Western Uganda, investigated Ebola Bundibugyo virus (EBV) using interviews with farmers, climatic assessments, and data from hospital and district health records. Snowball sampling identified households affected by EBV, while questionnaires and interview guides collected data on cultural risk factors (e.g., sleeping near/washing the dead, burial rituals). EBV’s mode of action, structure, and biochemistry were analyzed using IgG ELISA on preserved samples at UVRI and CDC literature reviews.</t>
  </si>
  <si>
    <t>Wight, et al, (2026), Emerging infectious diseases</t>
  </si>
  <si>
    <t>Antibodies Cross-Reactive with Bundibugyo Virus in Ferrets Vaccinated with Ebola Virus Vaccine</t>
  </si>
  <si>
    <t>10.3201/eid3208.260948</t>
  </si>
  <si>
    <t>http://europepmc.org/abstract/MED/42342600 https://doi.org/10.3201/eid3208.260948</t>
  </si>
  <si>
    <t>https://doi.org/10.3201/eid3208.260948</t>
  </si>
  <si>
    <t>To establish whether cross-reactive immune responses against  Bundibugyo virus (BDBV) can be elicited by heterologous recombinant vesicular stomatitis virus (rVSV)–based vaccine, the authors sought to evaluate the levels of BDBV-specific IgG in the context of a ferret model. They found that the rVSV-EBOV vaccine elicits a moderate cross-reactive immune response against BDBV, while rVSV-SUDV does not,  suggesting rVSV-EBOV could potentially offer some protection against BDBV, though further research is needed to confirm.</t>
  </si>
  <si>
    <t>Vaccine immunity - Measures of protective immunity (antibodies/titres/cytokines): 
Authors collected serum samples from ferrets 27 days after vaccination with rVSV-EBOV or rVSV-SUDV and quantified EBOV, SUDV, and BDBV glycoprotein-specific IgG levels by using ELISA. Both rVSV-EBOV and rVSV-SUDV elicited strong humoral responses to their homologous antigens; serum from all animals exhibited maximum absorbance at dilutions of 1:400.  At 16,582, the geometric mean endpoint titer for BDBV glycoprotein-specific IgG was significantly lower than that for EBOV glycoprotein (Wilcoxon statistical test = 3; p = 1.6 × 10–4), despite limited overlap in the range of titers, which extended from 3,200 to 30,270. We detected no EBOV- or BDBV-specific IgG in the control animals. 
The animals survived subsequent challenge with a uniformly lethal dose of the corresponding virus. Serum samples from ferrets vaccinated with rVSV-EBOV exhibited moderate levels of absorbance against BDBV glycoprotein, in contrast with serum samples from animals vaccinated with rVSV-SUDV, which exhibited very low levels of absorbance.  rVSV-EBOV vaccination elicits BDBV-specific antibodies, extending observations that have already been made in humans.</t>
  </si>
  <si>
    <t>Animal studies were conducted at the Canadian Science Centre for Human and Animal Health (CSCHAH) under protocols approved by the Institutional Animal Care Committee, adhering to Canadian Council on Animal Care guidelines. Ferrets were vaccinated intramuscularly with rVSV-EBOV or rVSV-SUDV (2 × 10⁵ PFU/dose) or saline (controls), with serum collected pre-vaccination and on day 27 post-vaccination. IgG levels specific to EBOV, SUDV, and BDBV glycoproteins were measured using indirect ELISA, and statistical analysis (Wilcoxon test) compared reciprocal endpoint titers for EBOV and BDBV glycoproteins.</t>
  </si>
  <si>
    <t>Clinical trial priorities, adaptive strategies, and equitable partnerships for the Bundibugyo Ebola outbreak</t>
  </si>
  <si>
    <t>10.1016/s1473-3099(26)00315-4</t>
  </si>
  <si>
    <t>http://europepmc.org/abstract/MED/42341789 https://doi.org/10.1016/S1473-3099(26)00315-4</t>
  </si>
  <si>
    <t>https://www.sciencedirect.com/science/article/pii/S1473309926003154?via%3Dihub</t>
  </si>
  <si>
    <t>Real-time epidemic intelligence in a public health emergency: the 2026 Bundibugyo virus outbreak</t>
  </si>
  <si>
    <t>10.1016/s1473-3099(26)00330-0</t>
  </si>
  <si>
    <t>http://europepmc.org/abstract/MED/42341788 https://doi.org/10.1016/S1473-3099(26)00330-0</t>
  </si>
  <si>
    <t>https://doi.org/10.1016/s1473-3099(26)00330-0</t>
  </si>
  <si>
    <t>Akilimali, et al, (2026), The New England journal of medicine</t>
  </si>
  <si>
    <t>Clinical Characteristics of Patients Infected with Bundibugyo Virus, DRC 2026</t>
  </si>
  <si>
    <t>10.1056/nejmc2608070</t>
  </si>
  <si>
    <t>http://europepmc.org/abstract/MED/42341323 https://doi.org/10.1056/NEJMc2608070</t>
  </si>
  <si>
    <t>https://www.nejm.org/doi/10.1056/NEJMc2608070</t>
  </si>
  <si>
    <t>This retrospective cohort study analyzed 2,351 recorded cases of suspected  Bundibugyo virus disease (BVD), finding 505 laboratory-confirmed cases (21.5%) and 635 negative tests (27.0%), with confirmed cases showing higher mortality than those that tested negative (18.8% vs. 10.2%).  Demographic and symptom profiles were similar across groups, with confirmed cases more likely to present with fever, gastrointestinal symptoms, and systemic signs than those that tested negative.  Among 129 confirmed cases , a 7.4-day mean delay between symptom onset and sample collection was observed and among 253 confirmed cases, patients who died had lower cycle-threshold (Ct) values, indicating a higher viral load, than those with no recorded death (median Ct value, 24.4 vs. 28.7; mean difference in Ct value, −3.7.</t>
  </si>
  <si>
    <t>CLINICAL DATA Acute infection: 
Patients with confirmed BVD frequently presented with fever (74.3%), gastrointestinal symptoms (vomiting 66.7%, diarrhea 67.4%), and systemic signs like headache (42.2%) and difficulty breathing (34.1%), while hemorrhagic signs were rare (10.4%).  
In confirmed cases, the symptom profile varied little according to patient sex or age after mutual adjustment. Fever was somewhat less frequent in male patients than in female patients (adjusted risk ratio, 0.88; 95% confidence interval [CI], 0.78 to 1.00), and headache became less frequent with increasing age (adjusted risk ratio, 0.89 per 10-year increment; 95% CI, 0.83 to 0.96). Cough was modestly more common in male patients than in female patients (adjusted risk ratio, 1.89; 95% CI, 1.01 to 3.53), as was chest pain (adjusted risk ratio, 1.94; 95% CI, 1.01 to 3.71), whereas the relative risk of other signs and symptoms did not vary substantially according to patient sex or age. 
The signs-and-symptoms profile distinguished confirmed BVD cases from negative cases, with confirmed patients more likely to report vomiting (66.7% vs. 50.8%), diarrhea (67.4% vs. 49.6%), anorexia (39.5% vs. 17.2%), abdominal pain (37.3% vs. 16.3%), difficulty breathing (34.1% vs. 10.9%), and difficulty swallowing (32.8% vs. 10.7%); fever was also more frequent in confirmed cases (74.3% vs. 64.9%), while hemorrhagic signs showed no substantial difference (10.4% vs. 10.3%).
CLINICAL DATA OTHER:
Patients with confirmed BVD were demographically similar to those who tested negative; in both groups, the majority of patients were adults 20 and 39 years of age, and there were slightly more female patients than male patients.
RISK FACTORS OF MORTALITY :
Among 253 patients with laboratory-confirmed positive samples tested with the RADIONE PCR assay2 from the laboratory in Bunia, Ituri Province, DRC (as of June 5, 2026), patients who died had lower cycle-threshold (Ct) values, indicating a higher viral load, than those with no recorded death (median Ct value, 24.4 [interquartile range, 21.3 to 26.9] vs. 28.7 [interquartile range, 25.0 to 32.5]; mean difference in Ct value, −3.7 [95% CI, −5.2 to −2.3]).
EPIDEMIOLOGICAL PARAMETER - OTHER:
Among 129 patients who tested positive for whom the symptom-onset and sample dates were recorded, the mean delay, with accounting for right truncation and censoring was 7.4 days (95% credible interval, 5.3 to 13.5; median, 4.8 days [95% credible interval, 3.5 to 7.8]). The 7.4-day mean delay between symptom onset and the date on which samples were obtained may reflect a lack of diagnostic capacity early during the outbreak.</t>
  </si>
  <si>
    <t>We report here signs and symptoms and basic laboratory data from the current 2026 BVD outbreak in the Democratic Republic of Congo (DRC). 
Among 2351 recorded cases in the individual-level database for BVD between May 3 and June 8, 2026, a total of 505 patients (21.5%) had a laboratory-confirmed case of BVD (as determined by Altona Diagnostics and RADIONE polymerase-chain-reaction [PCR] tests2), and 635 patients (27.0%) with suspected BVD tested negative. The remaining patients were untested, had pending results, or had results that remained classified as being suspected or probable. Among the 505 patients with laboratory-confirmed BVD who had records in the database, 95 (18.8%) had died by the data-cutoff date, as compared with 65 of the 635 patients (10.2%) who had tested negative. This finding cannot be interpreted as the case fatality rate owing to limited data on final outcome and unknown denominators.</t>
  </si>
  <si>
    <t>Sullivan, et al, (2026), The New England journal of medicine</t>
  </si>
  <si>
    <t>Bundibugyo Virus Disease in 2026 - Clinical and Public Health Responses</t>
  </si>
  <si>
    <t>10.1056/nejmra2607216</t>
  </si>
  <si>
    <t>http://europepmc.org/abstract/MED/42341299 https://doi.org/10.1056/NEJMra2607216</t>
  </si>
  <si>
    <t>https://www.nejm.org/doi/10.1056/NEJMra2607216</t>
  </si>
  <si>
    <t>Projected epidemiologic and economic impact of the 7-1-7 outbreak response framework in Uganda: a stochastic modelling study of Bundibugyo Ebola virus</t>
  </si>
  <si>
    <t>10.21203/rs.3.rs-10019597/v1</t>
  </si>
  <si>
    <t>http://europepmc.org/abstract/PPR/PPR1258502 https://doi.org/10.21203/rs.3.rs-10019597/v1</t>
  </si>
  <si>
    <t>https://www.researchsquare.com/article/rs-10019597/v1</t>
  </si>
  <si>
    <t>This study uses a counterfactual scenario modelling approach to answer: "what would be the projected epidemiologic and economic impact if Uganda implements a rapid 7-1-7 (detection ≤7 days, notification ≤1 day, response ≤7 days) compared with a delayed response, under varying importation pressures?" by using a rapid 3-1-5 response (detection 3 days, notification 1 day, response 5 days) against a delayed counterfactual (detection 11 days, notification 10 days,response 12 days),. They found that a rapid 3-1-5 response (detection 3 days, notification 1 day, response 5 days) reduces median cumulative cases by 6066% and deaths by 62–63% compared to a delayed counterfactual (11-10-12 days), across import probabilities from 10% to the observed 56%; the rapid response is strictly dominant (cost-saving and life-saving) for all import levels, with total costs of USD 29.1–29.9 million versus USD 37.4–38.1 million for the delayed scenario; the case fatality rate, import probability, and basic reproduction number are the dominant drivers of outcome uncertainty.</t>
  </si>
  <si>
    <t>Epidemiological Parameter - ESTIMATES OF OUTBREAK SIZE AND DURATION:
Rapid response: Median cumulative cases ranged from 26-31 with a narrow interquartile range (21-39).  Under the rapid 3-1-5 response, cumulative infections rise slowly and plateau below 40 cases by day 90, with overlapping uncertainty bands across import levels. 
Delayed response: the delayed scenario produced substantially larger outbreaks: median cases ranged from 76 (10% import) to 80 (30% import) and 78 (56% import), with upper 95% uncertainty limits exceeding 120 cases.  
CLINICAL DATA: MORTALITY pg15
Rapid response:   Median deaths were 3 across all import levels, and health worker infections ranged from 6 to 8. 
Delayed response: Median deaths were 8 for all delayed scenarios, health worker infections were 27–31, 
ECONOMIC COSTS
Rapid response:   Total costs were approximately USD 29.1–29.9 million, and DALYs were 101 for all import levels. 
Delayed scenario:  Total costs were USD 37.4–38.1 million. 
DALYs in the delayed scenario were 270–285, approximately 2.7 times higher than in the rapid response. The rapid 3-1-5 scenario therefore averted 52–54 deaths per 100,000 population compared to the delayed response, with cost savings of USD 7.5–8.6 million per import level. The incremental cost-effectiveness ratio (ICER) was negative for all comparisons, confirming that the rapid response is strictly dominant (less costly and more effective)</t>
  </si>
  <si>
    <t>This study uses a stochastic SEIR model to evaluate the *7-1-7  ( (detection ≤7 days, notification ≤1 day, response ≤7 days) outbreak response framework in Uganda with the Bundibugyo Ebola strain  Using a stochastic SEIR model parameterised for Uganda with the Bundibugyo Ebola strain and three daily importation probabilities (10%, 30%, and the observed 56%), we compared a rapid 3-1-5 response (detection 3 days, notification 1 day, response 5 days) against a delayed counterfactual (detection 11 days, notification 10 days, response 12 days).  The Sobol global sensitivity analysis was used to quantify the contribution of 16 parameters to the uncertainty in total deaths. Variance-based Sobol sensitivity analysis identified the case fatality rate, import probability, and basic reproduction number as the most influential parameters, with detection and response delays contributing through interactions.
All parameters (Table 1) were obtained from the Uganda Ministry of Health Situation Report No. 005 (26 May 2026) (MOH Uganda, 2026) and the updated Situation Report of 8 June 2026 (MOH, 8 June 2026), the WHO risk assessment (WHO PHEIC, 2026), a meta-analysis of Bundibugyo strain 0 (Muzembo et al., 2024), and literature on Ebola transmission dynamics (Althaus, 2014; Velasquez et al., 2015). The 0 was set to 2.76 – the upper bound of the 95% confidence interval (1.25–2.76) reported for the Bundibugyo strain – to reflect the most transmissible scenario and provide a conservative test of the rapid response. 
Costs were estimated from the health system perspective in 2026 USD. The Uganda Ministry of Health’s 4W matrix (Who is doing What, Where, and When) provided a detailed 90-day fixed response budget of USD 24,707,459, disaggregated into 11 operational pillars. Because most of these costs are fixed regardless of outbreak size (e.g., maintaining the Emergency Operations Centre, laboratories, and coordination structures), we derived a cost per case from the median case count under the rapid 7-1-7 scenario with the lowest importation risk (10%). The median number of cases in that scenario was 3, giving a cost per case of USD 24,707,459 / 3 ≈ USD 8,235,820. For other scenarios, total cost = cost per case × median cases. Disability-adjusted life years (DALYs) were calculated as DALY = YLL + YLD. Years of life lost (YLL) = deaths × (life expectancy at age of death − age at death), using average age at death = 35 years and life expectancy at birth for Uganda = 68 years (WHO 2023).   Years lived with disability (YLD) = cases × disability weight × duration, with disability weight for acute EVD = 0.133 and duration of acute disability = 180 days (0.493 years) (GBD 2021 Disability Weights Collaborators, 2024). The incremental cost-effectiveness ratio (ICER) compared the delayed scenario (baseline) to the rapid 7-1-7 scenario (intervention) for each import level.</t>
  </si>
  <si>
    <t>Zhang, et al, (2026), Zoological Research</t>
  </si>
  <si>
    <t>Lethal VSV-based surrogate mouse models for Sudan and Bundibugyo ebolaviruses enable antibody evaluation under BSL-2 conditions</t>
  </si>
  <si>
    <t>10.24272/j.issn.2095-8137.2025.606</t>
  </si>
  <si>
    <t>http://europepmc.org/abstract/MED/42339735 https://doi.org/10.24272/j.issn.2095-8137.2025.606</t>
  </si>
  <si>
    <t>https://doi.org/10.24272/j.issn.2095-8137.2025.606</t>
  </si>
  <si>
    <t>This study generated recombinant vesicular stomatitis viruses expressing SUDV or BDBV glycoproteins and  established  lethal  infection  models  in  Type  I interferon receptor knockout mice.  Bot viruses induced rapid, dose-dependent mortality; infected mice developed high viral loads in the liver,  spleen, and  lungs,  along with leukopenia, thrombocytopenia, and elevated  transaminases  indicating systemic infection and liver injury. Treatment with a single monoclonal  antibody  rEBOV-515   completely protected mice from lethal challenge, reducing viral loads and  restoring  body  weight, establishing reproducible surrogate models for studying  SUDV and BDBV  infection and provide an accessible experimental platform for evaluating GP-targeting therapeutic strategies.</t>
  </si>
  <si>
    <t>Infection immunity -  MEASURES OF PROTECTIVE antibodies/titres/cytokines):
 In  the  VSV∆G-SUDV  GP  cohort,  untreated  mice  exhibited rapid  and  sustained  weight  loss,  succumbing  by  day  4  post infection.  In  contrast,  antibody-treated  animals  showed transient  weight  reduction  followed  by  full  recovery,  resulting in 100% survival . Similarly, infection with VSV∆G-BDBV GP induced progressive weight loss beginning at day 2, with  complete  mortality  by  day  7  in  untreated  controls. Administration  of  mAb  515  markedly  attenuated  weight  loss and  conferred  complete  protection,  with  all  treated  mice surviving to the study endpoint. Quantitative  analysis  of  viral  burden  in  major  organs revealed  that  antibody  treatment  prevented  an  increase  in both viral RNA copies and infectious titers. In VSV∆G-SUDV GP  infected  mice,  mAb  515  reduced  viral  RNA  loads  by approximately 104.4 copies/g in the liver and 104.2 copies/g in the  lungs,  while  decreasing  live  virus  titers  by  roughly  103.4 TCID50 /g in the liver. Similarly, in VSV∆G-BDBV GP infected mice, treatment led to reductions of 103.8 copies/g in the liver and  102.8 copies/g  in  the  spleen,  with  corresponding decreases  of  101.6 TCID50 /g  in  liver  tissue  but  no  significant differences were observed in the brain tissue. These results indicate that mAb 515 prevents or significantly restricts  viral  dissemination  in  target  organs,  effectively curbing viral dissemination and disease progression in IFNAR- / - mice.</t>
  </si>
  <si>
    <t>This study used Vero E6 and BSR-T7 cells cultured in DMEM with FBS and antibiotics, and 293F cells in SMM 293-TII medium. A broadly neutralizing antibody, mAb 515, targeting a conserved Ebola virus glycoprotein (GP) epitope, was expressed in 293F cells, purified, and characterized. Recombinant vesicular stomatitis viruses (VSVs) expressing Sudan virus (SUDV) or Bundibugyo virus (BDBV) GP genes were rescued in BSR-T7 cells. Viral growth kinetics were assessed in Vero E6 cells at an MOI of 0.01, with titers quantified using TCID50 assays. Animal studies in IFNAR-/- mice (lacking type I interferon receptors) evaluated viral pathogenicity, antibody efficacy, and systemic infection. LD50 values were determined, and tissues were analyzed for viral load via RT-qPCR and TCID50. Histopathology was performed using H&amp;E and IHC staining, following INHAND guidelines. Statistical analysis used SEM and appropriate tests (t-test, ANOVA).</t>
  </si>
  <si>
    <t>Size of the 2026 Ebola outbreak and risk of cross-border spillover from Bundibugyo virus in Ituri Province, DR Congo, and its implications for preparedness: a recalibrated stochastic modelling study</t>
  </si>
  <si>
    <t>10.1016/s1473-3099(26)00320-8</t>
  </si>
  <si>
    <t>http://europepmc.org/abstract/MED/42349475 https://doi.org/10.1016/S1473-3099(26)00320-8</t>
  </si>
  <si>
    <t>https://www.sciencedirect.com/science/article/pii/S1473309926003208?via%3Dihub#cesec20</t>
  </si>
  <si>
    <t>This study aimed to establish a short-term trajectory of the BDBV outbreak and probability of cross-border spillover into countries with elevated risk of importation to guide preparedness priorities. Aligning with the central scenario (median R₀ = 1.71), the current outbreak is projected to have 990 cumulative confirmed cases and 174 deaths by Week 12, and cross-border spillover risks are highest for Uganda (94.2% importation probability) and South Sudan (69.3%) , requiring urgent preparedness.</t>
  </si>
  <si>
    <t>Epidemiological Parameter - Estimates of outbreak size or duration:
Central transmissibility scenario (mean accepted R0=1·71): The ensemble projected a median of 648 cumulative confirmed cases by week 10 (June 8, 2026; 50% prediction interval [PI] 560–732), rising to 990 cases by week 12 (June 24, 2026: 50% PI 858–1141 and 90% PI 709–1293), with a projected median of 174 deaths at week 12. 
Low transmissibility scenario  (mean accepted R0=1·42): Cumulative confirmed cases are projected to reach a median of 870 by week 12 (50% PI 752–1004 and 90% PI 641–1133; 160 deaths) and 3662 by week 24 (50% PI 2884–4484 and 90% PI 2094–6037) with 673 deaths
High transmissibility scenario (mean accepted R0=2·08): confirmed cases projected to reach a median of 1364 (50% PI 1154–1579 and 90% PI 975–1807; 202 deaths) by week 12, rising to 66 420 (50% PI 56 560–78 937 and 90% PI 41 718–95 881; 10 644 deaths) by week 24. The observed confirmed-case trajectory is consistent with the central scenario. 
The model predicts very high cross-border spillover risk for Uganda (94.2% importation probability, 19 confirmed cases as of June 4) and elevated risk for South Sudan (69.3%, driven by porous borders and sustained transmission in DR Congo), while Rwanda and Burundi face low risk (8.6% and 2.0%, respectively). Uganda’s outbreak is already established with local transmission, and South Sudan’s risk remains substantial despite DR Congo’s trajectory aligning with lower scenarios.</t>
  </si>
  <si>
    <t>The study used a stochastic SEIRD model (susceptible, exposed, infectious, recovered, dead) calibrated to laboratory-confirmed Bundibugyo virus cases in DR Congo (598 cases as of June 8, 2026) to project outbreak trajectories under low, central, and high transmissibility scenarios. A linked daily-hazard spillover model estimated cross-border importation risks for Uganda, South Sudan, Rwanda, and Burundi over 12 weeks, incorporating mobility, detection sensitivity, and travel-while-infectious parameters. Sensitivity analyses tested assumptions for travel, reporting completeness, and catchment size.
Case data were taken from the WHO AFRO External Situation Reports and the WHO AFRO internal tracker through to June 8, 2026. The laboratory-confirmed case series was used as the primary calibration metric: confirmed cases rose from 33 on May 18, 2026, to 105 on May 24, 2026, and 598 on June 8, 2026.15 Laboratory-confirmed cases were preferred over suspected cases because they are specific to BDBV and not subject to the over-ascertainment affecting suspected counts.</t>
  </si>
  <si>
    <t>Can stochastic modelling predict cross-border spread of the Bundibugyo Ebola virus outbreak in Africa?</t>
  </si>
  <si>
    <t>10.1016/s1473-3099(26)00352-x</t>
  </si>
  <si>
    <t>http://europepmc.org/abstract/MED/42349474 https://doi.org/10.1016/S1473-3099(26)00352-X</t>
  </si>
  <si>
    <t>https://www.sciencedirect.com/science/article/pii/S147330992600352X?via%3Dihub</t>
  </si>
  <si>
    <t>Network-based modelling of Bundibugyo Ebola virus disease importation and spread in Uganda using Displacement Tracking Matrix flow data and non-pharmaceutical intervention compliance scenarios</t>
  </si>
  <si>
    <t>10.64898/2026.06.22.26356210</t>
  </si>
  <si>
    <t>http://europepmc.org/abstract/PPR/PPR1259769 https://doi.org/10.64898/2026.06.22.26356210</t>
  </si>
  <si>
    <t>https://www.medrxiv.org/content/10.64898/2026.06.22.26356210v1</t>
  </si>
  <si>
    <t>This study assesses whether costly nationwide non-pharmaceutical interventions (NPIs) are needed when the 7-1-7 agile response (detection within 3 days, notification within 1 day, response within 5 days) already includes a strong behavioural component. Mobility data from the Displacement Tracking Matrix (DTM) showed Kisoro had the highest import (in-strength 3,823) and export (out-strength 1,350) risk, while Kampala had substantial import risk (in-strength 1,290) but lower export risk (out-strength 150); under baseline mobility, the model projected a median of 69 to 70 cumulative cases (95% CrI: 57 to 98) and 3 deaths over 90 days, with NPIs (community contact reduction, healthcare protection, movement restriction) at 20%, 40%, and 60% compliance showing no statistically significant case reduction.</t>
  </si>
  <si>
    <t>Epidemiological Parameter - ESTIMATES OF OUTBREAK SIZE AND DURATION: 
Under baseline mobility, the model projected a median of 69–70 cumulative cases (95% CrI: 57–98) , 11 367 HCW infections, over 90 days. Non-pharmaceutical interventions (community contact reduction, healthcare protection, movement restriction) at 20%, 40%, and 60% compliance produced no statistically significant reduction in cases. Superspreading events occurred in 34.6–40.6% of simulations. Kampala bore the highest predicted burden (median 22 cases, 100% outbreak probability more than 10 cases), followed by Wakiso (11 cases, 64.9%). Border districts had lower burdens (Bundibugyo 5, Kasese 3, Kisoro 2).
Sobol sensitivity analysis (500 samples, 200 bootstraps) identified the infectious period (first-order index 0.838), case fatality rate (0.738), and basic reproduction number (0.664) as the most influential parameters; mobility-related parameters had lower total-order indices.
MORTALITY:
Under baseline mobility, the model projected 3 deaths and 1 HCW deaths, over 90 days.</t>
  </si>
  <si>
    <t>The authors constructed a data-driven directed weighted mobility network using the International Organization for Migration Displacement Tracking Matrix (DTM) flows collected from 15–24 May 2026 (11,245 observed movements) and the 2024 Uganda census (45.9 million people). A stochastic metapopulation SEIR model, incorporating pre-symptomatic transmission and the movement of both exposed and infectious individuals, was simulated over 90 days across 135 Ugandan districts and two DRC provinces. Authors simulated three compliance levels (20%, 40%, 60%) for NPIs (risk communication, standard operating procedures, avoidance of handshaking, mass gathering bans) and assessed their impact on total cases, deaths, and healthcare worker (HCW) infections. A global sensitivity analysis using the Sobol method was used to identify which parameters most influence the total case count, thereby informing decision-makers on where to focus data collection and intervention efforts.
The median total cases ranged from 69 to 70 across compliance scenarios, with 3 deaths, 11 healthcare worker (HCW) infections, and 1 HCW death. The 95% credible intervals overlapped substantially (58–98 cases for 20% compliance, 57–95 for 60% compliance), indicating no statistically significant difference between compliance levels. The extinction probability was 0% across all scenarios, reflecting that the outbreak was already established at the start of the simulation (16 observed cases as of June 5, 2026). The probability of a large outbreak (≥50 cases) was 100% in all scenarios, consistent with the projected median of approximately 70 cases. Superspreading events (≥5 secondary infections from a single source in one day) occurred in 40.6% of simulations at 20% compliance, decreasing to 34.8% at 40% compliance and 34.6% at 60% compliance. The mean number of superspreading events per simulation ranged from 0.396 to 0.472, with a maximum of 3 in any single simulation.</t>
  </si>
  <si>
    <t>Longitudinal Bundibugyo Virus Glycoprotein Seroreactivity Following rVSVΔG-ZEBOV-GP Vaccination in Outbreak-Affected Populations of the Democratic Republic of the Congo</t>
  </si>
  <si>
    <t>10.64898/2026.06.22.26356273</t>
  </si>
  <si>
    <t>http://europepmc.org/abstract/PPR/PPR1259743 https://doi.org/10.64898/2026.06.22.26356273</t>
  </si>
  <si>
    <t>https://www.medrxiv.org/content/10.64898/2026.06.22.26356273v1</t>
  </si>
  <si>
    <t>This study collected serum samples between 2018-2023 from vaccine recipients in Mbandaka, Equateur Province and Beni, North Kivu Province and evaluated development of antibodies to Bundibugyo glycoprotein (GP) following rVSVΔGZEBOV-GP vaccination in two EVD outbreak-affected populations. They found that baseline Bundibugyo virus disease (BDBV) GP seroreactivity differed between sites, with 3.3% of participants reactive in Mbandaka and 10.4% in Beni.  In Mbandaka, BDBV GP titers remained unchanged through 6 months post-vaccination but increased markedly between 2.5 and 3.5 years, accompanied by a rise in seroreactivity to 35.3%, followed by waning at later visits. In Beni, BDBV GP titers increased rapidly after vaccination, reaching peak seroreactivity at 21 days (52.3%) and 6 months (53.9%), with mean fold increases of 21.9 and 20.1 among baseline naïve participants.</t>
  </si>
  <si>
    <t>Epidemiological Parameter - SEROPREVALENCE: 
Mbandaka cohort: At baseline, 3.3% (n=16) of participants were observed to be seroreactive to BDBV GP and 28.8% (n=139) of participants were reactive to EBOV GP. No change was observed in anti-BDBV GP antibody MFI values at 21 days or 6 months postvaccination. However, there was a rise in mean BDBV GP reactivity from 1238 to 4845 MFI (p&lt;.0001) between the year 2.5 and year 3.5 visits. Additionally, at the 3.5 year visit, 35.3% (n=116) of participants were seroreactive based on the cut-off criteria. 
Beni cohort: At baseline. reactivity was observed to be 10.4% (n=62) to BDBV GP and 3.8% (n=23) to EBOV GP. There was an immediate rise in anti-BDBV GP antibody MFI values at 21 days and 6 months after vaccination with rVSV∆G-ZEBOV-GP from a mean of 1653 MFI to 6678 (p&lt;.0001). At 21 days and 6 months post-vaccination the authors observed 52.3% (n=283) and 53.9% (n=270) seroreactivity to BDBV GP, respectively. Among those seronegative to BDBV GP at baseline and seroreactive at 21 days (n=241, 40.2%) and 6 months (n= 227, 37.9%), authors recorded a mean fold change of 21.9 and 20.1 compared to baseline, respectively. Mean antibody MFI values decreased for all antigens during the 6 month to 2.5 year postvaccination period, with only those for EBOV and BDBV GP remaining above the mean MFI values at baseline.</t>
  </si>
  <si>
    <t>Between 2018 and 2023, serum samples were collected from vaccine recipients in Mbandaka, Equateur Province (n=482 at baseline), and Beni, North Kivu Province (n=599 at baseline). Antibody reactivity was assessed using a multiplex pan-filovirus immunoassay. We evaluated longitudinal trends in BDBV GP seroreactivity across follow-up visits extending to approximately five years after vaccination.  
Recruitment and enrollment of this study coincided with the rVSV∆G-ZEBOV-GP vaccination efforts undertaken in response to the DRC’s 9th and 10th EVD outbreaks. Beginning June 2018 in Mbandaka, Equateur, and in August, 2018 in Beni, North Kivu, individuals ≥1 year of age who received the rVSV∆G-ZEBOV-GP vaccine under the World Health Organization (WHO) ring vaccination protocol were eligible for enrollment</t>
  </si>
  <si>
    <t>Diago-Navarro, et al, (2026), The Lancet regional health.Europe</t>
  </si>
  <si>
    <t>From Ebola to Hantavirus: Spain's Preparedness for High-Consequence Infectious Diseases</t>
  </si>
  <si>
    <t>10.1016/j.lanepe.2026.101749</t>
  </si>
  <si>
    <t>http://europepmc.org/abstract/MED/42327821 https://doi.org/10.1016/j.lanepe.2026.101749 https://europepmc.org/articles/PMC13279028 https://europepmc.org/articles/PMC13279028?pdf=render</t>
  </si>
  <si>
    <t>https://www.sciencedirect.com/science/article/pii/S2666776226001614?via%3Dihub</t>
  </si>
  <si>
    <t>Rizzo, et al, (2026), New microbes and new infections</t>
  </si>
  <si>
    <t>Diagnostic pathways in returning travellers: integrating Ebola outbreak screening into comprehensive workup</t>
  </si>
  <si>
    <t>10.1016/j.nmni.2026.101787</t>
  </si>
  <si>
    <t>http://europepmc.org/abstract/MED/42327488 https://doi.org/10.1016/j.nmni.2026.101787 https://europepmc.org/articles/PMC13276753 https://europepmc.org/articles/PMC13276753?pdf=render</t>
  </si>
  <si>
    <t>https://www.sciencedirect.com/science/article/pii/S2052297526000910?via%3Dihub</t>
  </si>
  <si>
    <t>Wang, et al, (2026), Pathogens</t>
  </si>
  <si>
    <t>Development of Peptide Entry Inhibitors Targeting the Endosomal Receptor NPC1 Binding Site of Orthoebolavirus</t>
  </si>
  <si>
    <t>10.3390/pathogens15060640</t>
  </si>
  <si>
    <t>https://ovidsp.ovid.com/ovidweb.cgi?T=JS&amp;PAGE=reference&amp;D=mesx&amp;NEWS=N&amp;AN=42347252 http://CT4XW3QJ9Z.search.serialssolutions.com/?url_ver=Z39.88-2004&amp;rft_val_fmt=info:ofi/fmt:kev:mtx:journal&amp;rfr_id=info:sid/Ovid:mesx&amp;rft.genre=article&amp;rft_id=info:doi/10.3390%2Fpathogens15060640&amp;rft_id=info:pmid/42347252&amp;rft.issn=2076-0817&amp;rft.volume=15&amp;rft.issue=6&amp;rft.spage=&amp;rft.pages=&amp;rft.date=2026&amp;rft.jtitle=Pathogens&amp;rft.atitle=Development+of+Peptide+Entry+Inhibitors+Targeting+the+Endosomal+Receptor+NPC1+Binding+Site+of+Orthoebolavirus.&amp;rft.aulast=Wang</t>
  </si>
  <si>
    <t>https://www.mdpi.com/2076-0817/15/6/640</t>
  </si>
  <si>
    <t>This study designed peptide inhibitors effective against BDBV based on the Niemann–Pick C1 (NPC1) receptor to target the NPC1 binding site to block viral entry. The cyclized peptide erp1c demonstrated strong in vitro inhibition of BDBV infection (IC₅₀ = 13.73 µM) and partial in vivo protection in mice (25% survival), while its linear counterpart erp1 was less effective (IC₅₀ = 17.89 µM).</t>
  </si>
  <si>
    <t>Protein-inhibitor/binding interactions:  
Both peptides erp1 and erp1c inhibited BDBV infection with IC50 values of 17.89 µM and 13.73 µM, respectively. Based on the side-by-side assay, peptide erp1c exhibited strong activity only against EBOV and BDBV with IC50 values of 11.6 µM and 11.3 µM, respectively, but no activity was observed against  Amphotropic murine leukemia virus,  suggesting that the inhibition from the peptide erp1c is specific to Orthoebolavirus or filoviruses and not others, because this peptide inhibitor was designed by specifically targeting the NPC1 binding site. The cyclized peptide erp1c (200 µg, twice daily for 7 days) provided partial protection in mice, with 2/8 surviving (25% survival) compared to 0/8 in untreated controls, indicating potential antiviral efficacy against MA EBOV.
After mutating two phenylalanines (FF) into two alanines (AA) in both forms of peptides erp1 (linear) and erp1c (cyclized) for functional analysis, the data displayed that in both linear and cyclized peptides show the mutated FF/AA peptides decreased the inhibition in a dose-dependent manner, compared with the counterpart wildtype peptide. The linear mutant peptide erp1aa increased the IC50 values from 25 µM to 109 µM with an estimated IC50 fold-change of 4.3; the cyclized mutant peptide erp1caa increased the IC50 values from 12.6 µM to 38.5 µM with an estimated IC50 fold-change of 3.0. These observed shifts in the inhibition curves strongly indicated that these two hydrophobic residues contribute significantly to the binding to the hydrophobic receptor binding sites. 
Molecular docking of cyclic peptides erp1c (wildtype) and erp1caa (FF/AA mutant) showed F7/F8 docked into NPC1’s receptor-binding site, mimicking loop 2. Surprisingly, the mutant shifted V9/Y10 to the binding pocket instead of A7/A8 but had lower affinity, confirming F7/F8’s critical role in viral entry inhibition.</t>
  </si>
  <si>
    <t>Peptides were synthesized (≥95% purity) and viral glycoproteins (EBOV, BDBV) cloned into pCDNA3.1+ for pseudovirus production in 293T cells via PEI transfection. Inhibition assays included TZM-bl cell-based Luciferase tests (IC₅₀ calculation) and HeLa cell immunostaining (infection efficiency via CellProfiler). In vivo studies comprised pharmacokinetic analysis (IV injection, LC-MS/MS) and efficacy testing (subcutaneous peptide treatment post-MA EBOV challenge), with survival, histopathology, and body weight monitored for 21 days under BSL-4 containment.</t>
  </si>
  <si>
    <t>Ijaz, et al, (2026), American Journal of Infection Control</t>
  </si>
  <si>
    <t>Hygiene and virucidal interventions in Ebola virus (Bundibugyo virus) and hantavirus (Andes virus) infection control: Translating laboratory evidence into practice</t>
  </si>
  <si>
    <t>10.1016/j.ajic.2026.06.023</t>
  </si>
  <si>
    <t>http://europepmc.org/abstract/MED/42362086 https://doi.org/10.1016/j.ajic.2026.06.023</t>
  </si>
  <si>
    <t>https://www.sciencedirect.com/science/article/pii/S0196655326005663?via%3Dihub</t>
  </si>
  <si>
    <t>Hempel, et al, (2026), Infectious disease reports</t>
  </si>
  <si>
    <t>Five Hot Topics in Tropical Medicine: 2025</t>
  </si>
  <si>
    <t>10.3390/idr18030060</t>
  </si>
  <si>
    <t>http://europepmc.org/abstract/MED/42346067 https://doi.org/10.3390/idr18030060 https://europepmc.org/articles/PMC13300675 https://europepmc.org/articles/PMC13300675?pdf=render</t>
  </si>
  <si>
    <t>https://www.mdpi.com/2036-7449/18/3/60</t>
  </si>
  <si>
    <t>, (2026), Nature</t>
  </si>
  <si>
    <t>Ebola can be stopped - but only if world leaders prioritize public health</t>
  </si>
  <si>
    <t>10.1038/d41586-026-01630-5</t>
  </si>
  <si>
    <t>https://www.nature.com/nature/ https://ovidsp.ovid.com/ovidweb.cgi?T=JS&amp;PAGE=reference&amp;D=emexb&amp;NEWS=N&amp;AN=2046044711 http://CT4XW3QJ9Z.search.serialssolutions.com/?url_ver=Z39.88-2004&amp;rft_val_fmt=info:ofi/fmt:kev:mtx:journal&amp;rfr_id=info:sid/Ovid:emexb&amp;rft.genre=article&amp;rft_id=info:doi/10.1038%2Fd41586-026-01630-5&amp;rft_id=info:pmid/42215777&amp;rft.issn=0028-0836&amp;rft.volume=654&amp;rft.issue=8117&amp;rft.spage=7&amp;rft.pages=7-8&amp;rft.date=2026&amp;rft.jtitle=Nature&amp;rft.atitle=Ebola+can+be+stopped+-+but+only+if+world+leaders+prioritize+public+health&amp;rft.aulast=</t>
  </si>
  <si>
    <t>https://www.nature.com/articles/d41586-026-01630-5</t>
  </si>
  <si>
    <t>Communicable disease threats report, 19 - 26 June 2026, Week 26</t>
  </si>
  <si>
    <t>https://www.ecdc.europa.eu/en/publications-data/communicable-disease-threats-report-19-26-june-2026-week-26</t>
  </si>
  <si>
    <t>Fact-finding mission on airport exit screening - EU Health Task Force mission to Democratic Republic of Congo and Uganda in response to the Bundibugyo virus disease outbreak 2026</t>
  </si>
  <si>
    <t>https://www.ecdc.europa.eu/en/publications-data/fact-finding-mission-airport-exit-screening-eu-health-task-force-mission</t>
  </si>
  <si>
    <t>Bongiovanni, et al, (2026), International Journal of Infectious Diseases</t>
  </si>
  <si>
    <t>Bundibugyo virus disease: transmission dynamics, infectiousness and viral persistence</t>
  </si>
  <si>
    <t>10.1016/j.ijid.2026.108939</t>
  </si>
  <si>
    <t>https://ovidsp.ovid.com/ovidweb.cgi?T=JS&amp;PAGE=reference&amp;D=medp&amp;NEWS=N&amp;AN=42365920 http://CT4XW3QJ9Z.search.serialssolutions.com/?url_ver=Z39.88-2004&amp;rft_val_fmt=info:ofi/fmt:kev:mtx:journal&amp;rfr_id=info:sid/Ovid:medp&amp;rft.genre=article&amp;rft_id=info:doi/10.1016%2Fj.ijid.2026.108939&amp;rft_id=info:pmid/42365920&amp;rft.issn=1201-9712&amp;rft.volume=&amp;rft.issue=&amp;rft.spage=108939&amp;rft.pages=108939&amp;rft.date=2026&amp;rft.jtitle=International+Journal+of+Infectious+Diseases&amp;rft.atitle=Bundibugyo+virus+disease%3A+transmission+dynamics%2C+infectiousness+and+viral+persistence.&amp;rft.aulast=Bongiovanni</t>
  </si>
  <si>
    <t>https://www.sciencedirect.com/science/article/pii/S1201971226005746?via%3Dihub</t>
  </si>
  <si>
    <t>Vaman, et al, (2026), Infectious Diseases</t>
  </si>
  <si>
    <t>The 2026 Bundibugyo virus outbreak: a test of global outbreak preparedness</t>
  </si>
  <si>
    <t>10.1080/23744235.2026.2689412</t>
  </si>
  <si>
    <t>https://ovidsp.ovid.com/ovidweb.cgi?T=JS&amp;PAGE=reference&amp;D=medp&amp;NEWS=N&amp;AN=42374832 http://CT4XW3QJ9Z.search.serialssolutions.com/?url_ver=Z39.88-2004&amp;rft_val_fmt=info:ofi/fmt:kev:mtx:journal&amp;rfr_id=info:sid/Ovid:medp&amp;rft.genre=article&amp;rft_id=info:doi/10.1080%2F23744235.2026.2689412&amp;rft_id=info:pmid/42374832&amp;rft.issn=2374-4243&amp;rft.volume=&amp;rft.issue=&amp;rft.spage=1&amp;rft.pages=1-4&amp;rft.date=2026&amp;rft.jtitle=Infectious+Diseases&amp;rft.atitle=The+2026+Bundibugyo+virus+outbreak%3A+a+test+of+global+outbreak+preparedness.&amp;rft.aulast=Vaman</t>
  </si>
  <si>
    <t>https://www.tandfonline.com/doi/full/10.1080/23744235.2026.2689412</t>
  </si>
  <si>
    <t>Branda, et al, (2026), The Lancet Global Health</t>
  </si>
  <si>
    <t>Bundibugyo virus and the cognition gap: rethinking epidemic preparedness in the era of regionalised outbreaks</t>
  </si>
  <si>
    <t>10.1016/j.langlo.2026.104020</t>
  </si>
  <si>
    <t>https://ovidsp.ovid.com/ovidweb.cgi?T=JS&amp;PAGE=reference&amp;D=medp&amp;NEWS=N&amp;AN=42372775 http://CT4XW3QJ9Z.search.serialssolutions.com/?url_ver=Z39.88-2004&amp;rft_val_fmt=info:ofi/fmt:kev:mtx:journal&amp;rfr_id=info:sid/Ovid:medp&amp;rft.genre=article&amp;rft_id=info:doi/10.1016%2Fj.langlo.2026.104020&amp;rft_id=info:pmid/42372775&amp;rft.issn=2214-109X&amp;rft.volume=&amp;rft.issue=&amp;rft.spage=104020&amp;rft.pages=104020&amp;rft.date=2026&amp;rft.jtitle=The+Lancet+Global+Health&amp;rft.atitle=Bundibugyo+virus+and+the+cognition+gap%3A+rethinking+epidemic+preparedness+in+the+era+of+regionalised+outbreaks.&amp;rft.aulast=Branda</t>
  </si>
  <si>
    <t>https://www.sciencedirect.com/science/article/pii/S2214109X26001828?via%3Dihub</t>
  </si>
  <si>
    <t>This commentary addresses the cognition gap surrounding Bundibugyo virus (BDBV) outbreak preparedness and provides a Bayesian phylogenetic analysis on all freely available BDBV genome sequences, revealing two main clades corresponding to historical outbreaks in Uganda (UGA clade, 2007) and DR Congo (COD clade, 2012). These findings highlight clear geographical and temporal segregation of the viral lineages characterized to date and evolutionary continuity with the Congolese lineage and in the absence of evidence supporting independent zoonotic introductions, new genome sequences are likely to fall within or near the historical COD clade.</t>
  </si>
  <si>
    <t>Phylogenetic analysis/molecular epidemiology: The Bayesian phylogenetic analysis conducted on all BDBV genome sequence, revealed two main clades, corresponding to historical outbreaks in Uganda (UGA clade, 2007) and DR Congo (COD clade, 2012), highlighting clear geographical and temporal segregation of the viral lineages characterised to date and evolutionary continuity with the Congolese lineage. In the absence of evidence supporting independent zoonotic introductions, new genome sequences are likely to fall within or near the historical COD clade. This phylogenetic uncertainty is compounded by substantial clinical and epidemiological challenges. The initial manifestations of BDBV are indistinguishable from other endemic febrile illnesses in eastern DR Congo, delaying case recognition.</t>
  </si>
  <si>
    <t>Authors conducted the Bayesian phylogenetic analysis on all BDBV genome sequences freely available in the Pathoplexus Database.</t>
  </si>
  <si>
    <t>Gupta, et al, (2026), CMI Communications</t>
  </si>
  <si>
    <t>Bundibugyo ebolavirus (BDBV): what first responders/clinicians need to know</t>
  </si>
  <si>
    <t>10.1016/j.cmicom.2026.105207</t>
  </si>
  <si>
    <t>https://www.scopus.com/pages/publications/105042561535?origin=resultslist</t>
  </si>
  <si>
    <t>https://www.sciencedirect.com/science/article/pii/S2950590926000375?via%3Dihub</t>
  </si>
  <si>
    <t>Nishtar, et al, (2026), Nature Health (Nat. Health)</t>
  </si>
  <si>
    <t>Financial innovation can deliver a Bundibugyo Ebola vaccine</t>
  </si>
  <si>
    <t>https://doi.org/10.1038/s44360-026-00173-3</t>
  </si>
  <si>
    <t>https://www.nature.com/articles/s44360-026-00173-3</t>
  </si>
  <si>
    <t>Ngashi Ngongo, et al, (2026), Nature Health (Nat. Health)</t>
  </si>
  <si>
    <t>Community engagement should be the priority for containment of the Bundibugyo Ebola outbreak</t>
  </si>
  <si>
    <t>https://doi.org/10.1038/s44360-026-00172-4</t>
  </si>
  <si>
    <t>https://www.nature.com/articles/s44360-026-00172-4</t>
  </si>
  <si>
    <t>Faico-Filho, et al, (2026), Journal of Hospital Infection</t>
  </si>
  <si>
    <t>Past lessons for the 2026 Bundibugyo virus outbreak: filovirus infection prevention in conflict-affected settings</t>
  </si>
  <si>
    <t>10.1016/j.jhin.2026.06.023</t>
  </si>
  <si>
    <t>https://ovidsp.ovid.com/ovidweb.cgi?T=JS&amp;PAGE=reference&amp;D=medp&amp;NEWS=N&amp;AN=42386094 http://CT4XW3QJ9Z.search.serialssolutions.com/?url_ver=Z39.88-2004&amp;rft_val_fmt=info:ofi/fmt:kev:mtx:journal&amp;rfr_id=info:sid/Ovid:medp&amp;rft.genre=article&amp;rft_id=info:doi/10.1016%2Fj.jhin.2026.06.023&amp;rft_id=info:pmid/42386094&amp;rft.issn=0195-6701&amp;rft.volume=&amp;rft.issue=&amp;rft.spage=&amp;rft.pages=&amp;rft.date=2026&amp;rft.jtitle=Journal+of+Hospital+Infection&amp;rft.atitle=Past+lessons+for+the+2026+Bundibugyo+virus+outbreak%3A+filovirus+infection+prevention+in+conflict-affected+settings.&amp;rft.aulast=Faico-Filho</t>
  </si>
  <si>
    <t>https://www.sciencedirect.com/science/article/pii/S0195670126002665?via%3Dihub#sec2</t>
  </si>
  <si>
    <t>The Bundibugyo virus disease outbreak: a warning signal for risks to health workers</t>
  </si>
  <si>
    <t>10.1016/s1473-3099(26)00364-6</t>
  </si>
  <si>
    <t>http://europepmc.org/abstract/MED/42392127 https://doi.org/10.1016/S1473-3099(26)00364-6</t>
  </si>
  <si>
    <t>https://www.sciencedirect.com/science/article/pii/S1473309926003646?via%3Dihub</t>
  </si>
  <si>
    <t>Geoffroy, et al, (2026), Lancet (London, England)</t>
  </si>
  <si>
    <t>Research priorities for characterising Bundibugyo virus</t>
  </si>
  <si>
    <t>10.1016/s0140-6736(26)01285-7</t>
  </si>
  <si>
    <t>http://europepmc.org/abstract/MED/42392117 https://doi.org/10.1016/S0140-6736(26)01285-7</t>
  </si>
  <si>
    <t>https://www.sciencedirect.com/science/article/pii/S0140673626012857?via%3Dihub</t>
  </si>
  <si>
    <t>Joseph, et al, (2026), Obstetrics and gynecology</t>
  </si>
  <si>
    <t>Ebola Virus in Pregnancy</t>
  </si>
  <si>
    <t>10.1097/aog.0000000000006382</t>
  </si>
  <si>
    <t>http://europepmc.org/abstract/MED/42390951 https://doi.org/10.1097/AOG.0000000000006382</t>
  </si>
  <si>
    <t>https://doi.org/10.1097/aog.0000000000006382</t>
  </si>
  <si>
    <t>Ebola disease (Bundibugyo) virus outbreak: time to take action to protect pregnant and breastfeeding women through research</t>
  </si>
  <si>
    <t>10.22541/authorea.15005515/v1</t>
  </si>
  <si>
    <t>http://europepmc.org/abstract/PPR/PPR1264461 https://doi.org/10.22541/authorea.15005515/v1</t>
  </si>
  <si>
    <t>https://doi.org/10.22541/authorea.15005515/v1</t>
  </si>
  <si>
    <t>Detected case growth and outcome heterogeneity during the 2026 Bundibugyo virus disease outbreak in the Democratic Republic of the Congo and Uganda</t>
  </si>
  <si>
    <t>10.21203/rs.3.rs-10090145/v1</t>
  </si>
  <si>
    <t>http://europepmc.org/abstract/PPR/PPR1263399 https://doi.org/10.21203/rs.3.rs-10090145/v1</t>
  </si>
  <si>
    <t>https://www.researchsquare.com/article/rs-10090145/v1</t>
  </si>
  <si>
    <t>This study assessed how source-traced official aggregate data could support real-time interpretation of detected case growth, outcome heterogeneity, and response bottlenecks and found 689 laboratory-confirmed cases in the DRC and 139 confirmed deaths across 29 health zones, corresponding to a crude observed CFR of 20.2% (95% CI 17.2–23.4%); Ituri accounted for 646 confirmed cases (93.8%); Uganda separately recorded 19 confirmed cases and two confirmed deaths. Interpretable seven-day phases yielded similar doubling times of 10.5 days for 21–27 May and 10.3 days for 4–10 June.</t>
  </si>
  <si>
    <t>Epidemiological Parameter - Other: Among the interpretable phases, Phase 2 yielded a detected daily growth rate of 0.066 per day, corresponding to a doubling time of 10.5 days (R² = 0.961). Phase 3 yielded a higher apparent growth rate of 0.094 per day, corresponding to a doubling time of 7.4 days (R² = 0.935). Phase 4 yielded a growth rate of 0.067 per day and a doubling time of 10.3 days (R² = 0.998), closely approximating the Phase 2 estimate. Across the full study period, the detected growth rate was 0.150 per day, corresponding to a doubling time of 4.6 days (R² = 0.906). A sensitivity analysis excluding harmonisation-sensitive or retroactive records and the multi-day increment yielded a similar estimate of 0.154 per day, corresponding to a doubling time of 4.5 days (R² = 0.911). 
Clinical Data - Mortality: The crude observed CFR increased from 9.9% (95% CI 4.9–17.5%) on 23 May, when 101 confirmed cases and 10 confirmed deaths had been recorded, to 20.2% (95% CI 17.2–23.4%) at the study cut-off. At the latest database update on 10 June, Uganda had recorded 19 confirmed cases, two confirmed deaths, five recoveries, and 409 active contacts under follow-up. The national DRC crude observed CFR increased from 9.9% (95% CI 4.9–17.5%) on 23 May 2026 to 20.2% (95% CI 17.2–23.4%) at the study cut-off, corresponding to 139 deaths among 689 confirmed cases. Because 75.2% of confirmed cases still had unresolved outcomes at the cut-off, these values should be interpreted as crude observed, time-point-specific proportions rather than final case fatality risk. Crude observed CFR differed markedly between Ituri and North Kivu. At the study cut-off, Ituri reported 17.6% (114/646; 95% CI 14.8–20.8%), while North Kivu reported 60.0% (24/40; 95% CI 43.3–75.1%), a difference of 42.4 percentage points. . At the study cut-off, Bunia reported 8.9% (17/191; 95% CI 5.3–13.9%), Rwampara 18.3% (26/142; 95% CI 12.325.7%), Mongbwalu 38.2% (52/136; 95% CI 30.0–47.0%), and Nyankunde 3.0% (1/33; 95% CI 0.1–15.8%)</t>
  </si>
  <si>
    <t>Authors conducted a retrospective aggregate time-series and subnational ecological analysis of official situation reports and public health updates. The DRC analysis used national, provincial, and health-zone data from Situation Report 001 through Situation Report 028; Uganda was analysed separately as a companion series. Outcomes included epidemic trajectory, detected case-growth signals, crude observed case fatality ratios (CFR), and selected operational indicators. Growth estimates were interpreted as detected case-growth signals, not direct estimates of true transmission intensity.</t>
  </si>
  <si>
    <t>Parums, et al, (2026), Medical science monitor : international medical journal of experimental and clinical research</t>
  </si>
  <si>
    <t>Editorial: The WHO Identifies Ebola Disease Due to Bundibugyo Virus as a Public Health Emergency of International Concern (PHEIC) as Vaccine Development Accelerates</t>
  </si>
  <si>
    <t>10.12659/msm.954627</t>
  </si>
  <si>
    <t>http://europepmc.org/abstract/MED/42383297 https://doi.org/10.12659/MSM.954627</t>
  </si>
  <si>
    <t>https://doi.org/10.12659/msm.954627</t>
  </si>
  <si>
    <t>Pereira, et al, (2026), American journal of transplantation : official journal of the American Society of Transplantation and the American Society of Transplant Surgeons</t>
  </si>
  <si>
    <t>Ebola disease caused by Bundibugyo virus, Democratic Republic of the Congo &amp; Uganda</t>
  </si>
  <si>
    <t>10.1016/j.ajt.2026.07.001</t>
  </si>
  <si>
    <t>http://europepmc.org/abstract/MED/42398918 https://doi.org/10.1016/j.ajt.2026.07.001</t>
  </si>
  <si>
    <t>https://www.sciencedirect.com/science/article/pii/S1600613526026390?via%3Dihub</t>
  </si>
  <si>
    <t>Tague, et al, (2026), Tropical medicine and health</t>
  </si>
  <si>
    <t>Bundibugyo virus detection during an Ebola virus disease outbreak in the democratic Republic of the Congo: an urgent call for action</t>
  </si>
  <si>
    <t>10.1186/s41182-026-01015-4</t>
  </si>
  <si>
    <t>http://europepmc.org/abstract/MED/42402623 https://doi.org/10.1186/s41182-026-01015-4</t>
  </si>
  <si>
    <t>https://link.springer.com/article/10.1186/s41182-026-01015-4</t>
  </si>
  <si>
    <t>Evaluating the impact of antiviral post-exposure prophylaxis for health-care workers during ebolavirus outbreaks: a modelling study</t>
  </si>
  <si>
    <t>10.64898/2026.06.26.26356717</t>
  </si>
  <si>
    <t>http://europepmc.org/abstract/PPR/PPR1271612 https://doi.org/10.64898/2026.06.26.26356717</t>
  </si>
  <si>
    <t>https://www.medrxiv.org/content/10.64898/2026.06.26.26356717v1</t>
  </si>
  <si>
    <t>This modelling study estimated the impact of HCW-targeted antiviral post-exposure prophylaxis (PEP) across varying assumed antiviral efficacy, deployment readiness, coverage, and allocation policy and across a high-burden “West Africa-like” scenario and a “DRC-like” scenario with conflict-disrupted response. They found that at 80% efficacy and 80% coverage, PEP averted approximately 64% of HCW deaths across both archetypes. Under low readiness, where clinical evaluation and access expansion occurred during the outbreak and coverage reached only 50% over one year, reductions fell to 19% and 22% in  "West Africa-like" and  "DRC-like" archetypes. In disruption scenarios, delayed dose receipt reduced HCW deaths averted from 83% to 50%; combined dosing delay and coverage loss retained only 35% of achievable impact, suggesting HCW-targeted antiviral PEP could reduce occupational mortality and preserve clinical capacity during ebolavirus epidemics where vaccines are unavailable.</t>
  </si>
  <si>
    <t>Clinical Data - Mortality:  In the no-PEP baseline, cumulative HCW deaths reached a median of 553 (interquartile range (IQR): 208-983) in the West Africa-like archetype by week 60, compared with 61 (IQR: 19-125) in the DRC-like archetype by week 80. Assuming 80% efficacy and 80% coverage with PEP, cumulative HCW deaths fell to 200 (IQR: 68-349) and 22 (IQR: 10-44) in the West Africa-like and DRC-like archetypes, respectively.  Under Scenario 1 (high readiness, pre-positioned stockpiles) , the number of HCW deaths averted increased with antiviral efficacy; at 80% efficacy, median reductions reached 80% (95% CrI: 79–81%) in the West Africa-like archetype and 80% (95% CrI: 76–84%) in the DRC-like archetype.  In a scenario in which PEP was delivered at high coverage with no post-exposure delay (the maximum achievable impact), HCW-targeted PEP averted 83% (95% CrI: 79–87%) of HCW deaths. Introducing delayed dosing while preserving coverage reduced this to 50% (95% CrI: 40–55%) of HCW deaths averted, corresponding to only 61% (95% CrI: 49–68%) of the achievable impact retained. At stockpiles of 30,000 doses in the West Africa-like archetype and 2,500 doses in the DRC-like archetype, prompt delivery averted 466 and 29 HCW deaths, respectively. Delaying the first dose to 5 days post-exposure reduced these benefits by 164 and 10 deaths, respectively.
Prophylaxis (pre or post exposure): 
Diverse outbreak Archetypes: In the no-PEP baseline, cumulative HCW deaths reached a median of 553 (interquartile range (IQR): 208-983) in the West Africa-like archetype by week 60, compared with 61 (IQR: 19-125) in the DRC-like archetype by week 80. Assuming 80% efficacy and 80% coverage with PEP, cumulative HCW deaths fell to 200 (IQR: 68-349) and 22 (IQR: 10-44) in the West Africa-like and DRC-like archetypes, respectively, equivalent to reductions of 64% (IQR: 63-66%) and 64% (IQR: 60-68%), respectively, relative to baseline. 
Delayed antiviral availability reduced overall PEP impact on HCW burden: Authors examined how deployment readiness and antiviral availability speed influenced PEP impact across three coverage scenarios. Under immediate full coverage (Scenario 1), an 80%-efficacious antiviral reduced HCW deaths by 80% in both West Africa-like and DRC-like archetypes, while gradual scale-up (Scenario 2) preserved 75% and 66% of this benefit, and delayed scale-up (Scenario 3) yielded only 19% and 22% reductions. These results highlight that PEP’s value depends on both efficacy and deployment readiness, including stockpiling and delivery systems that ensure timely distribution before HCW exposure risk accumulates.
Examining how conflict-associated operational disruption could erode the benefit of an otherwise efficacious antiviral PEP strategy: Authors investigated how conflict-related operational disruptions—such as reduced coverage and delayed dosing diminished the effectiveness of antiviral PEP in a DRC-like scenario. With high coverage and no dosing delay, PEP averted 83% of HCW deaths, but delayed dosing alone reduced this to 50%, retaining only 61% of the achievable impact. When combined with coverage loss, the impact further eroded, with disrupted delivery scenarios realizing only 28–36% of achievable HCW deaths averted under varying delay–efficacy assumptions, underscoring the critical need for rapid treatment initiation during disruptions</t>
  </si>
  <si>
    <t>Authors used a stochastic branching-process model to simulate ebolavirus transmission, classifying infections in the general population or HCWs and allowing transmission in community, health-care, or funeral settings. The model was calibrated to two historical outbreaks (West Africa 2013–2016 and DRC 2018–2020) and used to simulate paired outbreaks with and without PEP, varying efficacy, coverage, deployment readiness, dosing timeliness, and allocation policy. Three deployment readiness scenarios and allocation policies (broad vs. targeted) were assessed, with dose efficiency defined as PEP doses per HCW death averted.</t>
  </si>
  <si>
    <t>WHO adds first diagnostic test for Ebola Bundibugyo virus to its Emergency Use Listing</t>
  </si>
  <si>
    <t>https://www.who.int/news/item/02-07-2026-who-adds-first-diagnostic-test-for-ebola-bundibugyo-virus-to-its-emergency-use-listing</t>
  </si>
  <si>
    <t>Ebola Bundibugyo Virus — DRC · Spread Risk Assessment #3 · International Dissemination</t>
  </si>
  <si>
    <t>https://epistorm.github.io/EBV2026/report_03_international.html</t>
  </si>
  <si>
    <t>This study assessed the the relative importation risk rankings of 197 international destinations. Conditional international risk is concentrated in East Africa (69%), driven by Rwanda, Tanzania, and Kenya, with a Middle East hub effect (15%, led by Dubai) and a long tail extending to Europe (7.3%), Asia (5.9%), the Americas (2.0%), and other regions (&lt;1%).</t>
  </si>
  <si>
    <t>Epidemiological Parameter - Estimates of outbreak size or duration: Rwanda (23.5%), Tanzania (15.5%), and Kenya (14.8%) together account for roughly 54% of the conditional international risk, with Kigali alone at 17.6%. Dubai (UAE, 10.0%) is the second-ranked single destination after Kigali, reflecting its role as a major intercontinental aviation hub. Saudi Arabia (3.2%) and Qatar (0.9%) follow. Beyond Africa and the Middle East, Europe (7.3%, led by London at 2.7%) and Asia (5.9%, led by Mumbai 1.9%, Guangzhou 0.9%) capture the bulk of remaining conditional risk; the Americas hold roughly 2%.</t>
  </si>
  <si>
    <t>Global air travel data from the International Air Transport Association (IATA) and the Official Airline Guide (OAG), combined with short-scale commuting patterns, inform mobility models within the GLEAM (Global Epidemic and Mobility) computational framework to estimate disease spread. The model calculates relative importation risk for each destination by estimating the probability an infected individual travels there, conditional on exported cases, and normalizes these values to represent shares of importation probability. For surveillance prioritization, the analysis restricts destinations to non-local international locations (excluding immediate cross-border regions), renormalizes the risk distribution across 197 international destinations, and maintains Ituri, North Kivu, and Kampala as source provinces.</t>
  </si>
  <si>
    <t>Ebola Bundibugyo Virus — DRC · Spread Risk Assessment #4 · International Dissemination</t>
  </si>
  <si>
    <t>https://epistorm.github.io/EBV2026/report_04_alt.html</t>
  </si>
  <si>
    <t>On 2 June 2026, the Bunia International Airport in the centre of the outbreak was reopened to commercial traffic and this study ranks destinations beyond the affected area in 208 international destinations. The authors found African destinations account for 85% of conditional international risk, led by Tanzania (45%), South Sudan (23%), and Kenya (10%), while the intercontinental tail becomes more pronounced, with the Middle East (7.3%), Europe (3.7%), Asia (2.9%), and the Americas (1.3%) capturing smaller shares, reflecting redistributed mobility flows following the Bunia airport reopening.</t>
  </si>
  <si>
    <t>Epidemiological Parameter - Estimates of outbreak size or duration:
With reopened DRC aviation, conditional international risk now concentrates almost entirely within Africa (98%). Tanzania accounts for 45.3% of the conditional international risk (Sumbawanga, Bukoba, Mwanza, Dar Es Salaam), South Sudan for 23.4% (Juba), Kenya for 10.4% (Kisumu, Nairobi, Mombasa), and the UAE for 4.5% (Dubai). Excluding Rwanda and Burundi as regional spillover, African destinations now account for approximately 85% of the conditional international risk, driven principally by Tanzania (45%), South Sudan (23%), and Kenya (10%).  The Middle East accounts for 7.3% (Dubai 4.5% as the dominant single contribution), Europe for 3.7% (led by the United Kingdom, 1.2%), Asia for 2.9% (India and China together ~2.2%), and the Americas for 1.3% (primarily the United States). The shift reflects the activation of domestic and regional aviation following the Bunia airport reopening, which redistributes mobility flow into nearby destinations rather than the long-haul intercontinental routes that previously transited through Kampala.</t>
  </si>
  <si>
    <t>Global air travel data from the International Air Transport Association (IATA) and Official Airline Guide (OAG) provide passenger-level origin-destination flows between international airports, while short-scale commuting patterns capture daily movements between adjacent subpopulations, representing local disease spread. The model estimates relative importation risk for each destination, representing the share of importation probability assigned to that location, conditional on at least one exported case occurring. Following the reopening of Bunia International Airport on 2 June 2026, the analysis incorporates increased domestic and regional mobility, excludes the affected area, other DRC locations, and immediate regional neighbors (Rwanda, Burundi) to focus on non-local international destinations, and renormalizes the risk distribution across 208 international destinations for surveillance prioritization.</t>
  </si>
  <si>
    <t>Communicable disease threats report, 27 June - 3 July 2026, week 27</t>
  </si>
  <si>
    <t>https://www.ecdc.europa.eu/en/publications-data/communicable-disease-threats-report-27-june-3-july-2026-week-27</t>
  </si>
  <si>
    <t>ArienKK, (2026), Nature</t>
  </si>
  <si>
    <t>Better diagnostics could have limited this Ebola outbreak</t>
  </si>
  <si>
    <t>10.1038/d41586-026-01724-0</t>
  </si>
  <si>
    <t>https://www.nature.com/nature/ https://ovidsp.ovid.com/ovidweb.cgi?T=JS&amp;PAGE=reference&amp;D=emexb&amp;NEWS=N&amp;AN=2046039632 http://CT4XW3QJ9Z.search.serialssolutions.com/?url_ver=Z39.88-2004&amp;rft_val_fmt=info:ofi/fmt:kev:mtx:journal&amp;rfr_id=info:sid/Ovid:emexb&amp;rft.genre=article&amp;rft_id=info:doi/10.1038%2Fd41586-026-01724-0&amp;rft_id=info:pmid/42230838&amp;rft.issn=0028-0836&amp;rft.volume=654&amp;rft.issue=8117&amp;rft.spage=9&amp;rft.pages=9&amp;rft.date=2026&amp;rft.jtitle=Nature&amp;rft.atitle=Better+diagnostics+could+have+limited+this+Ebola+outbreak&amp;rft.aulast=Arien</t>
  </si>
  <si>
    <t>https://www.nature.com/articles/d41586-026-01724-0</t>
  </si>
  <si>
    <t>BoumY, et al, (2026), Journal of Public Health in Africa</t>
  </si>
  <si>
    <t>Ebola disease outbreak caused by Bundibugyo virus in Africa: A defining moment for Africa's health security and sovereignty</t>
  </si>
  <si>
    <t>10.4102/jphia.v17i1.2069</t>
  </si>
  <si>
    <t>https://publichealthinafrica.org/index.php/jphia https://ovidsp.ovid.com/ovidweb.cgi?T=JS&amp;PAGE=reference&amp;D=emexb&amp;NEWS=N&amp;AN=2046215903 http://CT4XW3QJ9Z.search.serialssolutions.com/?url_ver=Z39.88-2004&amp;rft_val_fmt=info:ofi/fmt:kev:mtx:journal&amp;rfr_id=info:sid/Ovid:emexb&amp;rft.genre=article&amp;rft_id=info:doi/10.4102%2Fjphia.v17i1.2069&amp;rft_id=info:pmid/&amp;rft.issn=2038-9922&amp;rft.volume=17&amp;rft.issue=1&amp;rft.spage=a2069&amp;rft.pages=&amp;rft.date=2026&amp;rft.jtitle=Journal+of+Public+Health+in+Africa&amp;rft.atitle=Ebola+disease+outbreak+caused+by+Bundibugyo+virus+in+Africa%3A+A+defining+moment+for+Africa%27s+health+security+and+sovereignty&amp;rft.aulast=Boum</t>
  </si>
  <si>
    <t>https://publichealthinafrica.org/index.php/jphia/article/view/2069/3030</t>
  </si>
  <si>
    <t>HunzikerP, et al, (2026), SSRN</t>
  </si>
  <si>
    <t>Managing Bundibugyo Ebola Disease under Weak Contact Tracing and PPE Scarcity: Strategy Modelling for Scarce Emerging Vaccine Stock in Bunia/Ituri</t>
  </si>
  <si>
    <t>10.2139/ssrn.6883091</t>
  </si>
  <si>
    <t>https://www.ssrn.com/index.cfm/en/ https://ovidsp.ovid.com/ovidweb.cgi?T=JS&amp;PAGE=reference&amp;D=empp&amp;NEWS=N&amp;AN=2046411739 http://CT4XW3QJ9Z.search.serialssolutions.com/?url_ver=Z39.88-2004&amp;rft_val_fmt=info:ofi/fmt:kev:mtx:journal&amp;rfr_id=info:sid/Ovid:empp&amp;rft.genre=article&amp;rft_id=info:doi/10.2139%2Fssrn.6883091&amp;rft_id=info:pmid/&amp;rft.issn=1556-5068&amp;rft.volume=&amp;rft.issue=&amp;rft.spage=&amp;rft.pages=&amp;rft.date=2026&amp;rft.jtitle=SSRN&amp;rft.atitle=Managing+Bundibugyo+Ebola+Disease+under+Weak+Contact+Tracing+and+PPE+Scarcity%3A+Strategy+Modelling+for+Scarce+Emerging+Vaccine+Stock+in+Bunia%2FIturi&amp;rft.aulast=Hunziker</t>
  </si>
  <si>
    <t>https://papers.ssrn.com/sol3/papers.cfm?abstract_id=6883091&amp;__cf_chl_f_tk=NCMuXGf.k5EIKq6Bnc3Rwga2TO907OX24H8cYK9Widc-1783428627-1.0.1.1-_eTUCgBGUFd1WXqj2_WFh34V69AG4AFBJ8ChHdF1ENQ</t>
  </si>
  <si>
    <t>This deterministic model compared outbreak-management strategies  over 200 days for a Bunia-scale population of
1,000,000 people. By day 100, the no-vaccine counterfactual generated 104,949 deaths and 395,381 infections while full-dose ring vaccination reduced deaths to 1,267 with optimistic, but left 32,980 with pessimistic tracing. Broader Low-Dose Intradermal (LDID) vaccination strategies reduced deaths to 15,135–18,383, versus 27,935 under mass full-dose vaccination. Personalised vaccination plus PPE/isolation reduced deaths to 1,702 and infections to 4,820.  The study suggests comprehensive Ebola response includes vaccination, contact tracing, effective distribution and use of PPE, isolation of cases to prevent transmission, and acting early.</t>
  </si>
  <si>
    <t>Public Health Measures - Other: Ring vaccination remains scientifically strong but operationally conditional. The optimistic ring scenario performs well because it assumes sufficient detection, listing, follow-up, isolation, and vaccination. The pessimistic ring scenario shows the failure mode: when the ring is not visible, full dose vaccine may be used efficiently while leaving most transmission unaddressed. This is the central reason to evaluate geographic rings, high-contact targeting, and population-layer strategies. Reduced-dose intradermal vaccination is an option for rational vaccine-stock allocation, not the 
primary claim of the paper. The fractional-dose and mRNA dose-response evidence supports threshold modelling, but no current reduced-dose Bundibugyo vaccine efficacy has been established. 
Infection Prevention and Control - Use of PPE:
Low-dose intradermal plus PPE/isolation: when applied early, reduced deaths to 1,702 and infections to 4,820, underscoring that vaccine allocation alone is unlikely to control an outbreak if health-care, funeral and household transmission remain uncontrolled. The integrated PPE/isolation plus personalised vaccination scenario demonstrates that non-vaccine response strengthening can dominate vaccine allocation differences when healthcare amplification is severe. Limited PPE may be as strategically important as limited vaccine. In the integrated scenario, PPE/isolation improvement shifts the system close to control. For field decision support, the relevant comparison is therefore not vaccine strategy alone, but packages combining vaccination, PPE, isolation, safe burial, decentralized testing, community engagement, and operational logistics.  
Clinical Data - Mortality:  The no-vaccine counterfactual generated 
104,949 deaths by day 100 under baseline assumptions. Full-dose ring vaccination with optimistic tracing reduced deaths to 1,267 by day 100, consistent with ring vaccination being highly effective when the ring is visible. Under pessimistic tracing, however, the same full-dose ring concept left 32,980 deaths. Under weak-tracing assumptions, broader low-dose intradermal strategies reduced deaths to 15,135–18,383.  The personalised low-dose intradermal plus PPE/isolation scenario, when applied early, reduced deaths to 1,702. for the central personalized LDID scenario, the death range across Rt values was 4,840–217,647, whereas delaying intervention start from day 14 to day 60 increased day-100 deaths from 11,376 to 28,559 in this scenario. 
Epidemiological Parameter - Estimates of outbreak size or duration: 
No vaccine counterfactual:  Generated 104,949 deaths and 395,381 infections by day 100 under baseline assumptions, highlighting a warning signal for explosive epidemic potential, If unobserved transmission chains, health-care amplification, delayed isolation, and PPE scarcity persist, an apparently localized outbreak can become a city-scale crisis that could spread beyond the initial urban focus and across connected health zones or borders.
Full-dose ring vaccination: Full-dose ring vaccination with optimistic tracing reduced deaths to 1,267 and infections to 3,411 by day 100, consistent with ring vaccination being highly effective when the ring is visible. Under pessimistic tracing, however, the same full-dose ring concept left 32,980 deaths and 127,287 infections, indicating that efficient vaccine use in known contacts may still miss most epidemic transmission when contact chains are not captured. 
Low-dose intradermal population-layer strategies under stock constraint: Under weak-tracing assumptions, broader low-dose intradermal strategies reduced deaths to 15,135–18,383 and infections to 58,596–68,563, outperforming mass full-dose vaccination under the same full-dose-equivalent stick constraint. 
Personalized LDID scenario: Sensitivity analysis demonstrates that the central personalised LDID scenario is highly sensitive to the reproduction number (Rt) and the timing of interventions. Controlling the spread of the virus and implementing interventions early are crucial for reducing mortality in this scenario.
The highest-impact strategy is integrated management:  Protect high risk/frontline groups, extend protection to hidden transmission layers if candidate vaccine properties permit, urgently reduce health-care amplification through PPE and isolation, minimize delays wherever operationally possible, and strongly pursue community engagement to encourage trust towards and collaboration with the Ebola response.</t>
  </si>
  <si>
    <t>This study employs a transparent deterministic spreadsheet model to rapidly screen outbreak management strategies under severe uncertainty, focusing on scenario exploration rather than calibrated forecasting. It models a population of 1,000,000 in Bunia, divided into three risk strata based on transmission risk: high-risk contacts and frontline workers (Group A, 0.5%), high-contact mobile adults (Group B, 27.0%), and the general population (Group C, 72.5%). The model tracks disease dynamics and intervention effects over 200 days, with day 100 as the primary endpoint, incorporating delayed vaccine protection and various state variables including infections, deaths, and vaccine allocation. Strategy arms compared in the model include: No vaccine / response only, Full-dose ring/contact/frontline with strong tracing/isolation modifier, Full-dose ring/contact/frontline with moderate tracing/isolation modifier, Full-dose ring/contact/frontline with weak tracing/isolation modifier, Full-dose inner ring plus low-dose intradermal outer geographic belt, 50% full-dose high-risk plus 50% LDID population layer, Full-dose high-risk reserve plus high-contact-first LDID, Minimal full-dose reserve plus broad low-dose LDID, Mass full-dose campaign with high-risk reserve,  and Personalised LDID plus PPE/isolation scale-up.</t>
  </si>
  <si>
    <t>Dotse-Gborgbortsi, et al, (2026), PLOS Global Public Health</t>
  </si>
  <si>
    <t>Globalisation, rising authoritarianism, declining solidarity, and retreating multilateralism: A perfect storm for amplifying the risk of outbreaks</t>
  </si>
  <si>
    <t>10.1371/journal.pgph.0006783</t>
  </si>
  <si>
    <t>https://www.scopus.com/pages/publications/105043117258?origin=resultslist</t>
  </si>
  <si>
    <t>https://doi.org/10.1371/journal.pgph.0006783</t>
  </si>
  <si>
    <t>A Tripartite Evolutionary Game Model for Ebola Vaccination and Coordinated Public Health Intervention</t>
  </si>
  <si>
    <t>10.21203/rs.3.rs-9875923/v1</t>
  </si>
  <si>
    <t>http://europepmc.org/abstract/PPR/PPR1273262 https://doi.org/10.21203/rs.3.rs-9875923/v1</t>
  </si>
  <si>
    <t>https://www.researchsquare.com/article/rs-9875923/v1</t>
  </si>
  <si>
    <t>This tripartite evolutionary game model examined Ebola control by linking vaccination uptake and transmission dynamics with coordinated actions by the public, government public health authorities, and healthcare/community institutions. Compared with voluntary vaccination alone, tripartite coordination reduced the time to achieve R0&lt;1 from 60 to 14 days, lowered peak infections to I_max=78.59 cases, and reduced peak infections, cumulative infections, and death proxy by 33.75%, 33.44%, and 31.59%, respectively, suggesting that Ebola vaccination governance should be designed as an integrated coordination system rather than an isolated voluntary vaccination program.</t>
  </si>
  <si>
    <t>Study evaluated PHM (vaccination and tripartite coordinated intervention, etc) and their impact on cumulative infection and deaths:
 Four epidemic-control outcomes under four intervention strategies were compared. These scenarios include: Voluntary vaccination only, Government-led intervention, Institution-supported implementation and Tripartite coordinated intervention. The tripartite coordinated intervention achieves the most favorable control performance among the four scenarios. It yields the lowest peak infected population, Imax =78.59, the earliest epidemic peak, tmax =27 days, the lowest cumulative infection proxy, CI(180)=4416.52, and the lowest cumulative death proxy, CD(180)=2284.65. Relative to the voluntary vaccination-only baseline, the tripartite coordinated strategy reduces peak infection, cumulative infection proxy, and cumulative death proxy by 33.75%, 33.44%, and 31.59%, respectively. These findings indicate that coordinated governance not only shortens the time required to bring R0(t) below one, but also produces a substantial reduction in epidemic burden.
Vaccination uptake is a governance-mediated behavioral outcome, not a purely biomedical input. Second, cultural-risk transmission and unsafe burial can offset vaccination benefits if community trust and institutional implementation are weak. Third, the fastest route to R_0(t) &lt; 1 is not a single strong actor but the alignment of public, government, and institutions. Fourth, the most useful policy levers are those that reduce participation cost, increase intervention credibility, strengthen implementation capacity, and improve public feedback. These findings are consistent with the broader behavioral epidemic literature, which emphasizes that human behavior and disease dynamics should be modeled as coupled processes
Epidemiological Parameter - Reproduction Number (R0/Rt):  The tripartite coordinated intervention reduces R0 from R0(0)=1.354 to R0(180)=0.724 and crosses the control threshold within 14 days, whereas the voluntary vaccination-only scenario reduces R0 from R0(0) =1.749 R0(180)= 0.932 and requires 60 days to reach the same threshold. This result shows that coordinated governance can accelerate epidemic suppression by simultaneously improving vaccination uptake, reducing cultural-risk transmission, strengthening safe-burial removal, and enhancing institutional implementation capacity. The scenario comparison also reveals that single-actor strategies are useful but incomplete. Government-led intervention reduces R0(t) faster than voluntary-only vaccination because subsidies, communication, and surveillance lower behavioral barriers and increase compliance. 
Other vaccine studies - Compliance/uptake/knowledge, attitudes, and beliefs: Government-led intervention reduces R0(t) faster than voluntary-only vaccination because subsidies, communication, and surveillance lower behavioral barriers and increase compliance. The realized vaccination rate is further shaped by government subsidy, public communication, institutional accessibility, safe-burial capacity, and public exposure feedback. Thus, the vaccination decision becomes embedded in a public health governance system rather than being treated as an isolated individual choice.</t>
  </si>
  <si>
    <t>This study constructs a tripartite evolutionary game model involving three boundedly rational stakeholders: the public, government public health authorities, and healthcare/community implementation institutions. The model is built on the Ebola voluntary vaccination framework and extends the individual-level vaccination decision into a coordinated public health governance system.</t>
  </si>
  <si>
    <t>Titanji, et al, (2026), PLOS global public health</t>
  </si>
  <si>
    <t>The Bundibugyo Ebola Virus Emergency and the erosion of global health security</t>
  </si>
  <si>
    <t>10.1371/journal.pgph.0006648</t>
  </si>
  <si>
    <t>http://europepmc.org/abstract/MED/42418421 https://doi.org/10.1371/journal.pgph.0006648</t>
  </si>
  <si>
    <t>https://journals.plos.org/globalpublichealth/article?id=10.1371/journal.pgph.0006648</t>
  </si>
  <si>
    <t>Sganzerla Martinez, et al, (2026), Journal of infection in developing countries</t>
  </si>
  <si>
    <t>Clock-like behavior across Orthoebolavirus species suggests alternative evolution of the 2026 Bundibugyo virus outbreak</t>
  </si>
  <si>
    <t>10.3855/jidc.23736</t>
  </si>
  <si>
    <t>http://europepmc.org/abstract/MED/42430523 https://doi.org/10.3855/jidc.23736</t>
  </si>
  <si>
    <t>https://www.jidc.org/index.php/journal/article/view/23736/3896</t>
  </si>
  <si>
    <t>This study evaluated the presence of clock-like behaviour and the suitability of three Pathoplexus datasets (Ebola virus, Sudan virus and Bundibugyo virus) for temporal evolutionary analyses. Key findings include: Sudan virus (R2 = 0.855) and Ebola virus (R2 = 0.709) exhibited significant temporal structures between sampling time and genetic divergence; Bundibugyo virus displayed strong clock-like behavior after exclusion of 2026 genomes (R2 =  0.983), which showed a marked substitution deficit relative to the historical molecular clock and deviated substantially from the inferred regression.</t>
  </si>
  <si>
    <t>Phylogenetic analysis/molecular epidemiology:
RTT regression analyses revealed heterogenous but consistently significant temporal structures across the 3 evaluated Orthoebolavirus species. Sudan virus displayed a temporal signal of R2= 0.855 indicating that the data is compatible with clock-like evolutionary pattern. The  time  to  most  recent  common  ancestor  (TMRCA)  was  estimated  in  approximately  1,692  (95%  CI:  1652.7–1748.9) with a rate of 9.65e-05 substitutions per site per yearEbola virus (Orthoebolavirus zairense) had an initial weaker temporal signal pf  R2 = 0.515. A total of 121 outliers were identified and after their removal a stronger  temporal  signal  R2  =  0.709  was  obtained. An  RTT  regression  analysis  was  performed  across  all  sampled Bundibugyo virus and a  reduced  temporal  signal  and  poor model fit (R2 = 0.18) was obtained. This distortion suggested  potential  violations  of  a  strict  molecular  clock  assumption  when  the  full  dataset  was  analyzed. Bundibugyo  virus  showed  a  strong  temporal  signal  only  when  the  2026  genomes  were  excluded  from the analysis.
The  2026  Bundibugyo virus sequences   (n   =   15)   displayed   substantially   lower   divergence  value  corresponding  to  an  evolutionary  deficit   of   0.0368   substitutions   per   site   (observed   0.011793;  expected  0.48551).  Standardized  prediction  residuals  indicated  that  the  2026  genomes  represent  extreme  outliers  relative  to  the  baseline  evolutionary  model,   approaching   30   standard   deviations   below   expectation. These  results  indicate  that  the  sequences  from  the  2026  ongoing  outbreak  substantially  deviate  from     the     temporal     expectations     of     historical     Bundibugyo   virus   baseline   of   the   historical   clock   model, suggesting a marked disruption in the clock-like accumulations over the 2007–2026 timeframe.</t>
  </si>
  <si>
    <t>The  Pathoplexus  database  was  searched  on  2  July  2026 and a total of 166 Sudan virus genomes, 3,388 Ebola  virus  genomes,  and  49 Bundibugyo  virus  genomes, was  obtained;  Fifteen Bundibugyo  virus  genomes  represent  isolates  from  Uganda  in  the  2026  outbreak, all  analyses  were   conducted   in   each   Orthoebolavirus species. Temporal  structure  was  assessed  using  a  RTT  regression  framework and RTT  distances  were  estimated  using TreeTime (version 0.9.4) and used as input for downstream statistical analyses. Phylogenetic trees were  rooted  using  a  least-square  approach.  Temporal signal  was  evaluated  by  regressing  TreeTime-derived RTT  distances  against  sampling  dates  using  ordinary  least    squares    (OLS),    with    the    coefficient    of    determination (R2) used as a measurement of clock-like behavior.</t>
  </si>
  <si>
    <t>AI-Driven Discovery and BSL-4 Validation of Cross-Filovirus Ebola-Marburg Inhibitors and their Synergistic Combinations</t>
  </si>
  <si>
    <t>10.64898/2026.07.09.737586</t>
  </si>
  <si>
    <t>http://europepmc.org/abstract/PPR/PPR1277614 https://doi.org/10.64898/2026.07.09.737586</t>
  </si>
  <si>
    <t>https://www.biorxiv.org/content/10.64898/2026.07.09.737586v1</t>
  </si>
  <si>
    <t>This study reports a  computationally guided, infectious virus validated screening platform for the rapid discovery of broad-spectrum filovirus antivirals, reducing an initial library of 142,382 compounds to 23 experimentally validated pan-filovirus inhibitors with favorable selectivity profiles and activity against both Ebola and Marburg viruses. Docking analyses suggested that many active compounds target conserved viral proteins, particularly VP35 and the L polymerase, and combination testing identified three synergistic drug pairs, led by NCGC00113249-01 and NCGC00118008-01, as promising broad-spectrum filovirus therapeutics.</t>
  </si>
  <si>
    <t>Therapeutics: Dose–response and viability profiling identified 23 compounds exhibiting potent, low-micromolar pan-filovirus activity and favorable cytotoxicity profiles. The most compelling single-agent candidates were those that combined three properties: measurable activity against both MARV and EBOV, acceptable selectivity indices, and a putative target assignment involving a conserved viral function. Based on combined potency, selectivity, cross-virus activity, and target-hypothesis support, compounds NCGC00111944-01, NCGC00100643-01, NCGC00111940-01, and NCGC00134663-01 were prioritized as the strongest non-control single-agent candidates for follow-up evaluation. The most important finding was that three compound pairs showed concordant synergy across both the MARV and EBOV assays, indicating that these interactions were not restricted to a single filovirus background.
Protein-inhibitor/binding interactions: For each of the selected compounds, the viral protein presenting the highest normalized consensus score, calculated as the arithmetic mean of scaled scores across EBOV and MARV homologous structures, was defined as the predicted primary target. Based on this criterion, the docking-based target assignment revealed a distinct distribution, with a significant preference for VP35, L protein, GP, and VP40. Specifically, among final 38 hits, the L protein and VP35 were identified as the top-ranked target (12 and 11 compounds, respectively), followed by the GP (8 compounds), and VP40 (6 compounds). The strongest and most reproducible cross-virus interaction was observed for NCGC00113249-01 + NCGC00118008-01. This pair showed the most favorable Bliss synergy profile across MARV and also ranked as the strongest EBOV synergistic pair. The interaction is mechanistically plausible because NCGC00113249-01 was computationally assigned to GP, whereas NCGC00118008-01 was assigned to the L protein. “Molecular docking indicates these compounds target conserved structural and functional domains—primarily the VP35 and L proteins—which may disrupt essential viral replication and immune antagonism.</t>
  </si>
  <si>
    <t>The study developed and validated QSAR (machine-learning) models for Marburg virus using two curated PubChem screening datasets. After extensive biological and chemical curation, 5,240 compounds (509 active, 4,731 inactive) were retained, and Random Forest models using extended-connectivity fingerprints with a radius of 2 (ECFP2) and Molecular ACCess System (MACCS)  fingerprints were trained with an emphasis on maximizing positive predictive value for virtual screening.
These models were applied to two NCATS libraries (&gt;142,000 compounds total), and compounds were prioritized based on predicted antiviral activity against both Marburg and Ebola viruses, low predicted cytotoxicity, applicability-domain reliability, and chemical diversity. Selected compounds were further analyzed by molecular docking against conserved viral proteins, tested experimentally in BSL-4 laboratories, and evaluated individually and in combinations for antiviral activity, cytotoxicity, and potential synergistic effects using Bliss independence analysis,</t>
  </si>
  <si>
    <t>Zhang, et al, (2026), Infectious medicine</t>
  </si>
  <si>
    <t>The 2026 Bundibugyo virus disease outbreak in the Democratic Republic of the Congo: Virology, epidemiology, continental response, and research priorities</t>
  </si>
  <si>
    <t>10.1016/j.imj.2026.100270</t>
  </si>
  <si>
    <t>http://europepmc.org/abstract/MED/42434018 https://doi.org/10.1016/j.imj.2026.100270</t>
  </si>
  <si>
    <t>https://www.sciencedirect.com/science/article/pii/S2772431X26000365?via%3Dihub#sec0001</t>
  </si>
  <si>
    <t>Rapid, Large-Scale and Multi-Species Phylogenomic Analysis of Orthoebolaviruses Using Covary</t>
  </si>
  <si>
    <t>10.20944/preprints202607.0617.v1</t>
  </si>
  <si>
    <t>http://europepmc.org/abstract/PPR/PPR1276511 https://doi.org/10.20944/preprints202607.0617.v1</t>
  </si>
  <si>
    <t>https://www.preprints.org/manuscript/202607.0617</t>
  </si>
  <si>
    <t>This study evaluated Covary, a translation-aware and alignment-free computational framework, for the phylogenomic analysis of 728 complete Orthoebolavirus genomes representing six Orthoebolavirus species including Orthomarburgvirus  bundibugyoense. Orthoebolavirus bundibugyoense consistently formed a distinct, taxonomically coherent species-level cluster across t-SNE visualization, hierarchical clustering, and heatmap analyses; unlike the highly heterogeneous O. zairense, Bundibugyo ebolavirus showed relatively conserved genome-wide similarity, indicating that Covary effectively recovered biologically meaningful relationships among Bundibugyo virus genomes</t>
  </si>
  <si>
    <t>Phylogenetic analysis/molecular epidemiology: The clustering patterns recovered by the dendrogram were consistent with the species distributions observed in the t-SNE projection. Bundibugyo ebolavirus formed a distinct cluster with minimal overlap with other filovirus species in the t-SNE projection of translation-aware genome embeddings. Genomes belonging to Bundibugyo ebolavirus shared similar genomic signatures, indicating that Covary successfully captured biologically meaningful species-level relationships without sequence alignment. After removing the highly diverse Orthoebolavirus zairense genomes, Bundibugyo ebolavirus continued to form a distinct and taxonomically consistent cluster, further supporting the ability of the framework to recover expected species-level relationships. Pairwise-distance heatmaps showed that Bundibugyo ebolavirus formed a coherent block-like similarity pattern, similar to Sudan, Reston, and Taï Forest ebolaviruses. This pattern indicated relatively conserved genome-wide similarity among Bundibugyo virus genomes compared with the much greater heterogeneity observed in O. zairense</t>
  </si>
  <si>
    <t>750 complete genomes representing six Orthoebolavirus species and 97 Orthomarburgvirus marburgense genomes were compiled as an outgroup from the NCBI Viral Genomes Resource. After applying quality filters and excluding sequences with ambiguous nucleotides, 728 genomes were retained and analyzed using Covary to generate whole-genome embeddings for large-scale comparative analysis. Genome-wide relationships were assessed using pairwise Euclidean distances, outlier detection, and heatmap visualization, while t-SNE was used to visualize species-level clustering in reduced dimensions. Finally, complete-linkage hierarchical clustering based on embedding-derived distances was used to reconstruct a phylogenomic dendrogram and evaluate evolutionary relationships among Ebola and Marburg virus genomes.</t>
  </si>
  <si>
    <t>Tonen-WolyecS, et al, (2026), The Lancet</t>
  </si>
  <si>
    <t>The 17th Ebola outbreak in the Democratic Republic of the Congo: a syndemic challenge</t>
  </si>
  <si>
    <t>https://www.sciencedirect.com/science/journal/01406736 https://ovidsp.ovid.com/ovidweb.cgi?T=JS&amp;PAGE=reference&amp;D=emexb&amp;NEWS=N&amp;AN=2045898956 http://CT4XW3QJ9Z.search.serialssolutions.com/?url_ver=Z39.88-2004&amp;rft_val_fmt=info:ofi/fmt:kev:mtx:journal&amp;rfr_id=info:sid/Ovid:emexb&amp;rft.genre=article&amp;rft_id=info:doi/10.1016%2FS0140-6736%252826%252901042-1&amp;rft_id=info:pmid/42214394&amp;rft.issn=0140-6736&amp;rft.volume=407&amp;rft.issue=10546&amp;rft.spage=2369&amp;rft.pages=2369-2370&amp;rft.date=2026&amp;rft.jtitle=The+Lancet&amp;rft.atitle=The+17th+Ebola+outbreak+in+the+Democratic+Republic+of+the+Congo%3A+a+syndemic+challenge&amp;rft.aulast=Tonen-Wolyec</t>
  </si>
  <si>
    <t>https://www.sciencedirect.com/science/article/pii/S0140673626010421?via%3Dihub</t>
  </si>
  <si>
    <t>HertelendyAJ, et al, (2026), The Lancet Regional Health - Americas</t>
  </si>
  <si>
    <t>From reactive to resilient: leveraging artificial intelligence for pandemic preparedness amid converging global threats</t>
  </si>
  <si>
    <t>10.1016/j.lana.2026.101533</t>
  </si>
  <si>
    <t>https://www.sciencedirect.com/science/journal/2667193X https://ovidsp.ovid.com/ovidweb.cgi?T=JS&amp;PAGE=reference&amp;D=emexb&amp;NEWS=N&amp;AN=2046511348 http://CT4XW3QJ9Z.search.serialssolutions.com/?url_ver=Z39.88-2004&amp;rft_val_fmt=info:ofi/fmt:kev:mtx:journal&amp;rfr_id=info:sid/Ovid:emexb&amp;rft.genre=article&amp;rft_id=info:doi/10.1016%2Fj.lana.2026.101533&amp;rft_id=info:pmid/&amp;rft.issn=2667-193X&amp;rft.volume=60&amp;rft.issue=&amp;rft.spage=101533&amp;rft.pages=&amp;rft.date=2026&amp;rft.jtitle=The+Lancet+Regional+Health+-+Americas&amp;rft.atitle=From+reactive+to+resilient%3A+leveraging+artificial+intelligence+for+pandemic+preparedness+amid+converging+global+threats&amp;rft.aulast=Hertelendy</t>
  </si>
  <si>
    <t>https://www.sciencedirect.com/science/article/pii/S2667193X26001638?via%3Dihub</t>
  </si>
  <si>
    <t>daAscensaoGoncalvesMA, et al, (2026), The Lancet</t>
  </si>
  <si>
    <t>Ebola outbreaks in DR Congo and Uganda: until when?</t>
  </si>
  <si>
    <t>https://www.sciencedirect.com/science/journal/01406736 https://ovidsp.ovid.com/ovidweb.cgi?T=JS&amp;PAGE=reference&amp;D=emexb&amp;NEWS=N&amp;AN=2045898954 http://CT4XW3QJ9Z.search.serialssolutions.com/?url_ver=Z39.88-2004&amp;rft_val_fmt=info:ofi/fmt:kev:mtx:journal&amp;rfr_id=info:sid/Ovid:emexb&amp;rft.genre=article&amp;rft_id=info:doi/10.1016%2FS0140-6736%252826%252901041-X&amp;rft_id=info:pmid/42214399&amp;rft.issn=0140-6736&amp;rft.volume=407&amp;rft.issue=10546&amp;rft.spage=2371&amp;rft.pages=2371-2372&amp;rft.date=2026&amp;rft.jtitle=The+Lancet&amp;rft.atitle=Ebola+outbreaks+in+DR+Congo+and+Uganda%3A+until+when%3F&amp;rft.aulast=da+Ascensao+Goncalves</t>
  </si>
  <si>
    <t>https://www.sciencedirect.com/science/article/pii/S014067362601041X?via%3Dihub</t>
  </si>
  <si>
    <t>Risk assessment: Ebola disease caused by Bundibugyo virus in the Democratic Republic of the Congo and Uganda (effective 2026-07-07 to 2026-08-28)</t>
  </si>
  <si>
    <t>https://www.canada.ca/en/public-health/services/emergency-preparedness-response/rapid-risk-assessments-public-health-professionals/ebola-disease-bundibugyo-virus-democratic-republic-congo-uganda-2026-07-07.html</t>
  </si>
  <si>
    <t>The overall risk to Canada from importation of Bundibugyo virus until August 28, 2026 is low and should a case be imported into Canada, onward transmission is expected to be very limited. The likelihood of importation of Bundibugyo virus into Canada within the next 7 weeks via health care and humanitarian workers with potential for direct virus exposure in the outbreak-affected areas of the DRC is low (moderate uncertainty), given the low number of such personnel expected to be in these areas. The likelihood of importation via other persons in the outbreak-affected areas in the DRC is very low (moderate uncertainty); The likelihood of importation via travellers from currently unaffected areas is assessed as negligible (moderate uncertainty).  The impact on an affected individual is estimated to be severe (low uncertainty), given the serious clinical manifestations of BVD, the high case fatality rate, and lack of approved vaccines or antivirals and if importation into Canada were to occur, the impact of BVD on the general population in Canada would be minor (low uncertainty), reflecting the limited number of secondary cases that would be anticipated among close contacts as a result of both the characteristics of virus transmission and established public health measures.</t>
  </si>
  <si>
    <t>Communicable disease threats report, 6-10 July, Week 28</t>
  </si>
  <si>
    <t>https://www.ecdc.europa.eu/en/publications-data/communicable-disease-threats-report-6-10-july-2026-week-28</t>
  </si>
  <si>
    <t>Ring and community vaccination for Bundibugyo ebolavirus outbreak response: a stochastic network modelling study</t>
  </si>
  <si>
    <t>10.64898/2026.07.09.26357654</t>
  </si>
  <si>
    <t>http://europepmc.org/abstract/PPR/PPR1278282 https://doi.org/10.64898/2026.07.09.26357654</t>
  </si>
  <si>
    <t>https://www.medrxiv.org/content/10.64898/2026.07.09.26357654v1</t>
  </si>
  <si>
    <t>This study developed a SEIR model of the 2026 DRC BDBV outbreak (data up to July 5, 2026) to evaluate the impact of a partially cross-protective vaccine (VE=45%) under different public health response scenarios. They report that increasing case detection from 30% to 70% and contact tracing from 30% to 80% (baseline vs. enhanced operations) reduced deaths by 59.8% (IQR 54.6–65.0). Adding reactive ring vaccination to enhanced operations reduced median deaths by 65.5% (IQR 59.1–71.2) compared with baseline operations. Community vaccination median mortality reductions ranging from 47.1% to 91.0% with high uncertainty at coverage levels of 20% to 80% compared to baseline operations. Mortality reductions were negatively affected by delays in vaccine rollout. Use caution in interpreting these results as some of the model parameters have high uncertainty.</t>
  </si>
  <si>
    <t>This study assesses the impact of vaccination in different scenarios including: reductions versus base operations, reductions versus enhanced operations, and incremental vaccine-attributable reductions when added to enhanced case finding and contact tracing.
PHM-Other: Compared with base operations without vaccination, enhanced case finding, contact tracing, and isolation reduced  median infections by 60·2% (IQR 55·0–65·0). Enhanced operations plus reactive ring vaccination's incremental infection reduction was 10·9% (IQR -6·1 to 25·5), indicating that under the base vaccine-effect assumptions the additional effect of reactive ring vaccination was modest once case finding and contact tracing were already strong.  At 20%, 40%, 60%, and 80% coverage, community vaccination's median infection reductions were 44·2%, 68·3%, 82·0%, and 88·3% respectively. 
Compared with base operations without vaccination, enhanced case finding, contact tracing, and isolation reduced  median deaths by 59·8% (IQR 54·6–65·0). Enhanced operations plus reactive ring vaccination reduced median deaths by 65·5% (IQR 59·1–71·2) compared with base operations, but the incremental mortality 263 reduction compared with enhanced operations alone was 13·6% (IQR -3·2 to 27·9). At 20%, 40%, 60%, and 80% community vaccination coverage, median mortality reductions versus base operations were 46·2% (IQR −68·2 to 94·7), 70·3% (IQR 0·0 to 96·9), 84·4% (IQR 40·5 to 97·9), and 90·9% (IQR 66·8 to 98·4), respectively. Timing of vaccine introduction strongly modified the expected benefit of community vaccination. With 50% community coverage, median mortality reduction was 86% (IQR 76–91) when vaccination began at outbreak declaration, 67% (IQR 54–77) with a 7-day delay after declaration, and 58% (IQR 42–70) with a 14-day delay after declaration. Immune-onset timing also impacted the incremental benefit of reactive ring vaccination. The model represented protection as continuous sigmoidal onset profiles, with midpoint values at 5, 10, and 14 days after vaccination. Shifting the immune-onset midpoint from 5 to 10 to 14 days reduced the incremental mortality reduction of ring vaccination from 23% (IQR 5–37) to 15% (IQR −3 to 29) and 10% (IQR −11 to 26), respectively, relative to enhanced 306 operations without vaccination. 
Contour analysis: Showed that index case detection and contact tracing coverage jointly determined the benefit of enhanced operations relative to base operations. The base-operations point at 30% index-case detection and 30% contact-tracing coverage lay near the low-benefit region, whereas higher detection and tracing moved the response into substantially larger mortality reductions. Furthermore, the analysis demonstrates that if operational capacities fall below the base-case levels of 30% detection and tracing, outbreak morbidity and mortality will worsen substantially compared to the baseline trajectory. 
Behavioural risk-compensation analyses:  Increased effective contact rates after vaccination could erode vaccine benefit when vaccine effect was low.  At the base 45% vaccine efficacy assumption, the model retained mortality reductions under modest risk  compensation, but the margin narrowed as the risk-compensation multiplier increased and vaccine efficacy decreased.</t>
  </si>
  <si>
    <t>The study developed a stochastic SEIR transmission model on a two-layer contact network, calibrated using public data from the 2026 DRC Bundibugyo virus outbreak and historical BDBV outbreaks, to compare the relative impact of reactive ring vaccination, community vaccination, and hybrid vaccination strategies using a partially cross-protective rVSV-ZEBOV-like vaccine. The model incorporated outbreak surveillance data, transmission dynamics, case detection, contact tracing, vaccine efficacy, immune-onset delays, and operational constraints, with outcomes measured as reductions in cumulative infections, deaths, and vaccine doses used. Extensive sensitivity analyses examined the effects of vaccine effectiveness, vaccination timing and coverage, behavioral risk compensation, outbreak response capacity, and transmission assumptions to assess whether the relative performance of vaccination strategies remained robust under different biological and operational conditions.</t>
  </si>
  <si>
    <t>Mutation mapping and evolutionary dynamics of Bundibugyo Ebolavirus (BDBV-2026) genomes reported from Uganda</t>
  </si>
  <si>
    <t>10.21203/rs.3.rs-10310109/v1</t>
  </si>
  <si>
    <t>http://europepmc.org/abstract/PPR/PPR1277967 https://doi.org/10.21203/rs.3.rs-10310109/v1</t>
  </si>
  <si>
    <t>https://www.researchsquare.com/article/rs-10310109/v1</t>
  </si>
  <si>
    <t>This study analysed a total of 19 genomes isolated from Ugandan cases during the ongoing BDBV-2026 outbreak using a comparative genomics approach. Authors observed a substantial number of amino acid substitutions with lower single nucleotide polymorphisms and complete deletion of 3' leader sequences (61 nucleotides and truncation of 5' trailer sequences (73 nucleotides) in all queried BDBV-2026 genomes. Phylogenetic analysis demonstrated diversity within the BDBV-2026 genomes and the emergence of two sub-groups, I and II, of BDBV-2026 viruses, suggesting this outbreak may have originated from a novel zoonotic spillover.</t>
  </si>
  <si>
    <t>Phylogenetic analysis/molecular epidemiology:
 The phylogenetic analysis was conducted to investigate the evolutionary dynamics of the BDBV-2026 sequence. A bootstrap-supported neighbor-joining phylogenetic tree constructed from human BDBV isolates representing the 2007 outbreak (n = 5), the 2012 outbreak (n = 12), and the ongoing 2026 outbreak (n = 19) in the DRC and Uganda revealed three distinct subclades. The quality check performed by Nextclade revealed that out of 19 genomes, three genomes (PP_0076RPB.1, PP_0076RVZ.1, and PP_0076RXV.1) showed a large number of N or ambiguous elements. These three genomes were found to have 3360, 781, and 849 N or ambiguous elements, respectively. . The 19 BDBV-2026 genomes considered in this analysis shared 98.79 to 99.04 percentage identity with the reference genome (NC_014373.1). Genome-wide sequence alignment between 19 BDBV-2026 genomes and 17 genomes from previous outbreaks (BDBV-2007 and 2012) reveals that all 19 BDBV-2026 Uganda genomes have a deletion of the 3' leader sequence (61 nt, C1 to A61) and truncation of the 5' trailer sequence (73 nt, T18,867 to A18,940). Researchers compared the number of total substitutions, deletions, insertions, and amino acid substitutions in BDBV sequences from the 2026 outbreak, previous human outbreaks (BDBV-2007 and BDBV-2012), and cell-culture isolates . Of the four variables examined, total deletions and total insertions differed significantly among groups (Kruskal–Wallis H = 8.03 and 11.85; p = 0.01 and 0.002, respectively; η² = 0.1131 and 0.2142), and pairwise comparisons identified significant differences between specific groups. 
Mutations: The mutational analysis revealed single nucleotide polymorphisms (SNPs), amino acid (aa) substitutions, and stop codons in the BDBV-2026103 genomes. Molecular dynamics simulation was performed for wild-type (BDBV-2007) and mutant (BDBV-2026) models of the NP and L proteins, which contained the identified mutation hotspots, to evaluate the impact of the mutations on protein stability over a standard 500 ns simulation. The calculated root mean square deviation (RMSD) and root mean square fluctuation (RMSF) trajectories showed that the novel BDBV-2026 mutations significantly affected NP protein stability, whereas no significant stability differences were observed between the wild-type BDBV-2007 L protein and the mutant BDBV-2026 L protein.</t>
  </si>
  <si>
    <t>The study analyzed 19 newly sequenced Bundibugyo virus (BDBV-2026) genomes from Uganda by mapping them to a reference genome, identifying genomic and protein mutations, and generating three-dimensional protein structures using AlphaFold. Structural models were compared using bioinformatics tools, while mutation burden across current, historical, and cell-culture-derived BDBV genomes was assessed using nonparametric statistical tests that emphasized effect sizes alongside significance testing.To investigate viral evolution, the researchers combined the 19 new genomes with sequences from the 2007 and 2012 BDBV outbreaks, performed multiple-sequence alignment, and constructed bootstrap-supported phylogenetic trees.</t>
  </si>
  <si>
    <t>From Risk Score to Field Action: Development of a Health-Zone-Level Operational Prioritization and Action Framework for the 2026 Bundibugyo Virus Disease Outbreak in the Democratic Republic of the Congo</t>
  </si>
  <si>
    <t>10.20944/preprints202607.0759.v1</t>
  </si>
  <si>
    <t>http://europepmc.org/abstract/PPR/PPR1277844 https://doi.org/10.20944/preprints202607.0759.v1</t>
  </si>
  <si>
    <t>https://www.preprints.org/manuscript/202607.0759</t>
  </si>
  <si>
    <t>This methodological paper presents the Bundibugyo Virus Disease Operational Intelligence System (BVD-OIS), a three-module framework built on an eight-domain Health Zone Operational Priority Index . The framework produces two standardized outputs: a one-page Health Zone Action Card combining priority tier, trajectory, binding constraint, data completeness, and time-stratified role-specific actions; and a Multi-Zone Priority Summary ranking scored health zones for coordination settings. The  intent of this framework is for local adaptation, prospective field testing, and independent evaluation.</t>
  </si>
  <si>
    <t>PHM Other: 
The BVD-OIS extends health-zone-level scoring into a complete operational intelligence pathway: from routinely reported surveillance indicators, to a standardized composite score, to a prioritized and role-assigned field action plan, with explicit accounting for where the underlying data are incomplete. Framework outputs include: a Health Zone Action Card and a Multi-Zone Priority Summary
Health Zone Action Card:  one-page operational summary intended for direct use in coordination meetings, daily briefings, and field team supervision. It converts the score into a prioritized and accountable field plan.
Multi-Zone Priority Summary: Ranks all scored health zones by priority tier and, within tier, by trajectory. Escalating zones are listed ahead of stable or improving zones at the same tier. The output is intended for response coordination settings where incident managers and partners need a rapid comparative view across the response.</t>
  </si>
  <si>
    <t>This methodological paper presents the Bundibugyo Virus Disease Operational Intelligence Suite (BVD‑OIS), a decision-support framework that uses public health-zone-level outbreak data to prioritize affected areas and guide response activities. It includes a Health Zone Operational Priority Index (HZ‑OPI) to score risk across eight operational domains, a Field Action Prioritization Tool (FAPT) to identify key constraints and generate targeted response actions, and a Response Intelligence Audit (RIA) to track data completeness and uncertainty, ensuring transparent operational decision-making.</t>
  </si>
  <si>
    <t>Africa’s response to this Ebola outbreak shows how to shape global health</t>
  </si>
  <si>
    <t>https://www.nature.com/articles/d41586-026-02148-6</t>
  </si>
  <si>
    <t>Ebola Disease - How to Self-Isolate</t>
  </si>
  <si>
    <t>https://www.publichealthontario.ca/-/media/Documents/V/26/vhf-exposure-how-self-isolate.pdf?rev=faaf6ec92e064e8cafa3cfa4dc431971&amp;sc_lang=en</t>
  </si>
  <si>
    <t>Wise, et al, (2026), BMJ (Clinical research ed.)</t>
  </si>
  <si>
    <t>Ebola vaccine: Oxford starts UK trial against Bundibugyo strain</t>
  </si>
  <si>
    <t>10.1136/bmj-2026-100286</t>
  </si>
  <si>
    <t>http://europepmc.org/abstract/MED/42448371 https://doi.org/10.1136/bmj-2026-100286</t>
  </si>
  <si>
    <t>https://doi.org/10.1136/bmj-2026-100286</t>
  </si>
  <si>
    <t>Bundibugyo Ebola Virus Outbreak: Launch of the EBO-PEP Trial to Protect High-Risk Contacts</t>
  </si>
  <si>
    <t>https://africacdc.org/news-item/bundibugyo-ebola-virus-outbreak-launch-of-the-ebo-pep-trial-to-protect-high-risk-contacts/</t>
  </si>
  <si>
    <t>Wallis, et al, (2026), African Journal of Reproductive Health</t>
  </si>
  <si>
    <t>It's not just virology: The Bundibugyo Ebola outbreak in the Democratic Republic of the Congo and Uganda demands a wider public health response</t>
  </si>
  <si>
    <t>10.29063/ajrh2026/v30i13.1</t>
  </si>
  <si>
    <t>https://ovidsp.ovid.com/ovidweb.cgi?T=JS&amp;PAGE=reference&amp;D=mesx&amp;NEWS=N&amp;AN=42453043 http://CT4XW3QJ9Z.search.serialssolutions.com/?url_ver=Z39.88-2004&amp;rft_val_fmt=info:ofi/fmt:kev:mtx:journal&amp;rfr_id=info:sid/Ovid:mesx&amp;rft.genre=article&amp;rft_id=info:doi/10.29063%2Fajrh2026%2Fv30i13.1&amp;rft_id=info:pmid/42453043&amp;rft.issn=1118-4841&amp;rft.volume=30&amp;rft.issue=13&amp;rft.spage=&amp;rft.pages=&amp;rft.date=2026&amp;rft.jtitle=African+Journal+of+Reproductive+Health&amp;rft.atitle=It%27s+not+just+virology%3A+The+Bundibugyo+Ebola+outbreak+in+the+Democratic+Republic+of+the+Congo+and+Uganda+demands+a+wider+public+health+response.&amp;rft.aulast=Wallis</t>
  </si>
  <si>
    <t>https://ajrh.org/index.php/ajrh/article/view/7169/2663</t>
  </si>
  <si>
    <t>Difficult decisions: navigating ethics in the Bundibugyo virus disease outbreak</t>
  </si>
  <si>
    <t>10.1016/j.lanmic.2026.101488</t>
  </si>
  <si>
    <t>http://europepmc.org/abstract/MED/42456697 https://doi.org/10.1016/j.lanmic.2026.101488</t>
  </si>
  <si>
    <t>https://doi.org/10.1016/j.lanmic.2026.101488</t>
  </si>
  <si>
    <t>Ayitewala, et al, (2026), Lancet (London, England)</t>
  </si>
  <si>
    <t>Bundibugyo ebolavirus from the 2026 Ebola outbreak in Uganda and DR Congo: a new variant</t>
  </si>
  <si>
    <t>10.1016/s0140-6736(26)01079-2</t>
  </si>
  <si>
    <t>http://europepmc.org/abstract/MED/42456691 https://doi.org/10.1016/S0140-6736(26)01079-2</t>
  </si>
  <si>
    <t>https://www.sciencedirect.com/science/article/pii/S0140673626010792?via%3Dihub</t>
  </si>
  <si>
    <t>Using next-generation sequencing, this study obtained a complete genome with 99.7% genome coverage of BDBV. Investigation of this new genome revealed that the new variant causing the current outbreak showed the closest evolutionary relationship to the sequences from the 2007 Uganda outbreak ,confirming the distinct evolutionary behaviour of the new BDBV genomes of the ongoing 2026 outbreak, with a divergence rate of 0.0125, which was higher than that of the previous human BDBV isolates, suggesting that the  ongoing Bundibugyo virus disease outbreak in DR Congo and Uganda is spreading via a novel BDBV variant.</t>
  </si>
  <si>
    <t>Phylogenetic analysis/molecular epidemiology:  Compared with the old sequences reported from DR Congo in 2012, the new variant showed the closest evolutionary relationship to the sequences from the 2007 Uganda outbreak. To validate the calculated UPGMA tree, two additional phylogenetic trees of the new and previously reported BDBV sequences were also generated using the Nextclade phylogenetic framework and neighbour–joining phylogenetic analysis. These trees also confirmed the distinct evolutionary behaviour of the new BDBV genomes of the ongoing 2026 outbreak, with a divergence rate of 0.0125, which was higher than that of the previous human BDBV isolates. Taken together, the phylogenetic analysis of the 2026 BDBV genomes suggests that the ongoing Bundibugyo virus disease outbreak in DR Congo and Uganda is spreading via a novel BDBV variant.</t>
  </si>
  <si>
    <t>nitial laboratory detection and speciation of the virus was based on real-time PCR (rtPCR) performed using the RealStar Filovirus Screen rtPCR Kit 1.0 and RealStar Filovirus Type rtPCR Kit 2.0, together with the BioPerfectus Ebola Virus rtPCR Kit. Assays were performed at the Central Emergency Response and Surveillance Laboratory in Wandegeya, Uganda. Other major viral pathogens were excluded using the Quantiplus Major Fever Panel 1 .Using next-generation sequencing on the Illumina NextSeq 2000 Sequencing System, authors obtained a complete genome with 99·7% genome coverage of BDBV (reference genome GenBank accession number NC_014373.1). The sequences from the 2026 BDBV outbreak have since been deposited in the Pathoplexus database (sequence IDs: PP_006XHL9.1 and PP_006XHKB.1 [DR Congo], and PP_006XCJJ.1 [Uganda]) and are publicly accessible. To investigate the phylogeny of the newly sequenced BDBV genome, authors constructed a phylogenetic tree using the unweighted pair group method with arithmetic mean (UPGMA) and an alignment score-based approach.</t>
  </si>
  <si>
    <t>Early insights into viability of Ebola monoclonal antibodies for the 2026 Bundibugyo virus disease outbreak</t>
  </si>
  <si>
    <t>10.21203/rs.3.rs-10270397/v1</t>
  </si>
  <si>
    <t>http://europepmc.org/abstract/PPR/PPR1279560 https://doi.org/10.21203/rs.3.rs-10270397/v1</t>
  </si>
  <si>
    <t>https://doi.org/10.21203/rs.3.rs-10270397/v1</t>
  </si>
  <si>
    <t>This study performed  genomic and structural analyses of 44 BDBV sequences, including 12 from the 2026 outbreak, to assess mAb (mAb114, Inmazeb and MBP134) binding to the viral glycoprotein (GP).  While the MBP134 cocktail epitopes remain conserved, mAb114 binding is compromised by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MBP134 maintains efficacy against BDBV, highlighting its potential as a neutralizing therapeutic.</t>
  </si>
  <si>
    <t>Protein-inhibitor/binding interactions: 
mAB114: Ebanga (mAb114) epitope contained E112D and P116A mutations, altering the EBOV sequence from LEIKKPDGS to LDIKKADGS. The AF3-predicted BDBV GP-mAb114 complex showed that the antibody bound to an alternative site rather than the target epitope, in contrast to the EBOV GP-mAb114 complex, where mAb114 was predicted to bind at its intended target epitope in line with the crystal complex structure (PDB:5FHC). This BDBV off-target binding suggests epitope mutations (E112D, P116A) alter the canonical binding interface, rendering it unrecognizable to mAb114. Rosetta-based in silico mutagenesis of these epitope BDBV mutations onto EBOV GP-mAb114 complex resulted in destabilization of the mAb114 binding interface. E112D had the strongest destabilizing effect on binding affinity (ΔΔG = + 1.24 kcal mol− 1), corresponding to an estimated 54% reduction in affinity relative to the wild-type complex, while P116A decreased affinity by 34% (ΔΔG = + 0.70 kcal mol− 1). Therefore, naturally occurring variation within the BDBV mAb114 epitope may impair antibody-glycoprotein interactions and potentially reduce the neutralization potential of mAb114 against circulating BDBV strains.
Inmazeb: Maftivimab (REGN3479), which binds a quaternary epitope spanning the beta 1-beta 2 loops (P34, L43, V45), GP1 IFL residues 527–530 (IGLA), residues 535–536 (FG), and GP2 HR1 (Q560, E564, Q567, glycan Asn563), remained conserved, although the GP2 N-terminal region exhibited mutations (I504T, V505L, A507T). Odesivimab (REGN3471) targets both the glycan cap residues G143, T144, and P146, which were conserved, and the GP1 head at residues 111–119 (LEIKKPDGS), which showed substitutions (E112D, P116A). The atoltivimab (REGN3470) epitope sites; GP1 residues 260–270 (IYTSGKRSNTT) had mutations (S263N, K265R), while residues N278, P279, D282, and N292 remained conserved, although a mutation was present at E280T. . The AF3-predicted BDBV GP-Inmazeb complex showed that the three antibodies bound firmly to their target epitopes when binding jointly (Fig. 2A). When modelled alone with the BDBV GP, antibody Odesivimab (REGN3471) was predicted to interact with its BDBV GP epitope site even in presence of mutations at E112D and P116A (Fig. 2D), whereas both atoltivimab (REGN3470) and Maftivimab (REGN3479) did not bind to the target epitope. The  introduction of BDBV epitope mutations into the EBOV-Inmazeb complex revealed that the trimeric complex maintains net favorable binding interactions within the mutated BDBV GP (total ΔΔG = − 397.3696 kcal mol⁻¹), demonstrating that collectively, these mutations do not substantially disrupt the trimeric antibody binding to BDBV. 
MBP134: MBP134 target epitopes were conserved across all analyzed BDBV, supporting its design as a broad-spectrum therapeutic for both EBOV and BDBV. The MBP134 components ADI-15878 and ADI-15946 antibodies docked the BDBV GP at the designated epitope sites both in the predicted AF3 structure of the BDBV GP-ADI-15946 complex and the experimental structure BDBV GP-ADI-15878 complex. This corresponds with the experimental structures of EBOV GP-ADI-15878 (PDB:6EA7) and EBOV GP-ADI-15946 (PDB:6MAM).</t>
  </si>
  <si>
    <t>The researchers analyzed 44 Bundibugyo virus (BDBV) glycoprotein sequences from the 2007, 2012, and 2026 outbreaks to identify mutations, assess epitope conservation, and compare them with Ebola virus glycoprotein sequences. Using AlphaFold 3, ChimeraX, and Rosetta software, they performed structural modeling and in silico mutagenesis to predict how BDBV mutations affect the binding of monoclonal antibody therapies, including mAb114 (Ebanga), Inmazeb, and MBP134. Predicted antibody–glycoprotein interactions and binding-energy changes were compared with available experimental structures to evaluate the potential impact of BDBV genetic variation on therapeutic efficacy.</t>
  </si>
  <si>
    <t>FujiwaraS, et al, (2026), New Microbes and New Infections</t>
  </si>
  <si>
    <t>R0 of Bundibugyo virus disease and the critical issue of case ascertainment in the Democratic Republic of the Congo</t>
  </si>
  <si>
    <t>10.1016/j.nmni.2026.101811</t>
  </si>
  <si>
    <t>https://www.sciencedirect.com/science/journal/20522975 https://ovidsp.ovid.com/ovidweb.cgi?T=JS&amp;PAGE=reference&amp;D=emedx&amp;NEWS=N&amp;AN=2047317313 http://CT4XW3QJ9Z.search.serialssolutions.com/?url_ver=Z39.88-2004&amp;rft_val_fmt=info:ofi/fmt:kev:mtx:journal&amp;rfr_id=info:sid/Ovid:emedx&amp;rft.genre=article&amp;rft_id=info:doi/10.1016%2Fj.nmni.2026.101811&amp;rft_id=info:pmid/&amp;rft.issn=2052-2975&amp;rft.volume=72&amp;rft.issue=&amp;rft.spage=101811&amp;rft.pages=&amp;rft.date=2026&amp;rft.jtitle=New+Microbes+and+New+Infections&amp;rft.atitle=R0+of+Bundibugyo+virus+disease+and+the+critical+issue+of+case+ascertainment+in+the+Democratic+Republic+of+the+Congo&amp;rft.aulast=Fujiwara</t>
  </si>
  <si>
    <t>https://www.sciencedirect.com/science/article/pii/S2052297526001150?via%3Dihub</t>
  </si>
  <si>
    <t>This exponential growth model of suspected and confirmed BDBV cases by 30 May 2026 estimated growth rate at 0.093 per day (95% CI: 0.086-0.101)  and R0 at 3.26 (95%CI 3.01-3.52). When focused on confirmed cases only,  growth rate was estimated at 0.212 per day (95%CI: 0.183-0.241) and R0 at 8.90 (95%CI: 7.17-10.87), a considerably higher estimate than 1.5—2.5 for 2014 and 2018 outbreaks.</t>
  </si>
  <si>
    <t>Epidemiological Parameter - Reproduction Number (R0/Rt): 
Fitting an exponential growth model to suspected and confirmed cases by 30 May 2026, growth rate was estimated at 0.093 per day (95% confidence interval (CI): 0.086-0.101). This estimate was greater than 0.052 per day in 2014 and 0.060 per day in 2018. Employing a gamma distributed generation time with mean 15.3 days and variance 86.5 days, R0 of current BVD outbreak was estimated at 3.26 (95% CI: 3.01-3.52). However, in June 2026, the World Health Organization ceased to update the number of suspected cases, and Africa Centers for Disease Control and Prevention (CDC) reduced the cumulative count of suspected cases who turned out to be negative by laboratory testing. Although controversial, the cumulative number of suspected cases thus decreased as a function of time in the Africa CDC report. When we focused on confirmed cases only, the growth rate of cases by 30 May 2026 was 0.212 per day (95%CI: 0.183-0.241), yielding R0 at 8.90 (95%CI: 7.17-10.87), a considerably higher estimate than 1.5—2.5 for 2014 and 2018 outbreaks.</t>
  </si>
  <si>
    <t>An exponential growth model was fitted to suspected and confirmed cases by May 30, 2026 and a gamma distributed generation time with mean 15.3 days and variance 86.5 days was employed as well.</t>
  </si>
  <si>
    <t>WHO target product profile for Bundibugyo virus disease vaccines, 14 July 2026</t>
  </si>
  <si>
    <t>https://www.who.int/publications/i/item/B09835</t>
  </si>
  <si>
    <t>This publication outlines the intended public health use of Bundibugyo virus vaccines in outbreak response and preparedness, including their role in protecting at-risk populations and contributing to outbreak control. It describes the desired vaccine attributes across key domains, including indications, target populations, efficacy, safety, dosing regimen, route of administration, storage and stability, manufacturing considerations, and programmatic suitability for deployment in resource-constrained settings. The document also explains how the target product profile (TPP) is intended to support the World Health Organization policy recommendations, Emergency Use Listing, prequalification, and regulatory decision-making, while recognizing that overall benefit-risk considerations may outweigh individual product characteristics. The TPP provides a common framework to accelerate the development, evaluation and availability of safe, effective and accessible vaccines for the prevention and control of Bundibugyo virus disease.</t>
  </si>
  <si>
    <t>Dunning, et al, (2026), Euro surveillance : bulletin Europeen sur les maladies transmissibles = European communicable disease bulletin</t>
  </si>
  <si>
    <t>Screening and monitoring of travellers returning from countries affected by Bundibugyo virus: an overview of European approaches, July 2026</t>
  </si>
  <si>
    <t>10.2807/1560-7917.es.2026.31.28.2600578</t>
  </si>
  <si>
    <t>http://europepmc.org/abstract/MED/42464817 https://doi.org/10.2807/1560-7917.ES.2026.31.28.2600578</t>
  </si>
  <si>
    <t>https://www.eurosurveillance.org/content/10.2807/1560-7917.ES.2026.31.28.2600578</t>
  </si>
  <si>
    <t>This study outlined the BDBV control measures in Europe and the US as of June 2026 and compared them with those during the 2013-2016 Ebola virus outbreak. Compared with the 2013–2016 Ebola virus outbreak, when several European countries implemented heterogeneous airport entry screening measures, current practice has largely converged towards a harmonised risk-based approach, symptom monitoring, exposure-based follow-up and healthcare preparedness over general travel restrictions, routine arrival screening, or quarantine of asymptomatic travellers without high-risk exposure. Unlike the US, the European approach prioritises rapid clinical recognition and isolation, and exposure-based monitoring over a more restrictive quarantine strategy.</t>
  </si>
  <si>
    <t>PHM-Border Measures: 
In the European Union/European Economic Area and the United Kingdom (UK), national policies show a high degree of convergence.  The countries covered here rely on early case recognition, exposure-based monitoring, prompt isolation of suspected cases, and management at designated referral centres, rather than routine entry screening for people returning from BDBV-affected countries. Returning travellers are advised to self-monitor for symptoms for 21 days and seek medical care promptly if symptoms develop. Healthcare workers and humanitarian personnel are monitored using a risk-based approach. Exposure level is determined according to potential exposure and use of personal protective equipment. Quarantine is only recommended for individuals with high-risk exposures.
Belgium: Formal guideline with no formal notification requirements between non-governmental organisations (NGOs) and regional health authorities, but relies on coordination between occupational health services and local public health authorities for the assessment and follow-up of returning healthcare workers. 
France: Relies heavily on coordination between humanitarian organisations, healthcare institutions, and public health authorities; individuals returning from the epidemic areas remain under self-monitoring and are advised to refer to seek medical advice if symptoms develop. 
Germany: Strongly recommends self-declaration to public health authorities for all healthcare workers who were involved in the care of Ebola disease patients in outbreak-affected areas. For those with unprotected or inadequately protected high-risk exposures, early consultation of the deploying organisation or the public health authority with the Permanent Working Group of Competence and Treatment Centres for high consequence infectious diseases centre is recommended for risk assessment and consideration of appropriate measures. 
Italy: Places particular emphasis on maintaining clinical vigilance through mandatory self-declaration to regional health authorities and may monitor high-risk individuals in high-level isolation facilities.
The Netherlands: has well-established coordination among NGOs, academic institutions, and healthcare organisations to facilitate the follow-up of returning healthcare workers and students. Returning healthcare workers are managed through occupational health and local public health procedures
Norway: Does not require routine reporting upon return, and quarantine is not routinely recommended. Individuals who develop symptoms are advised to isolate and contact healthcare services.
Spain: Adopts a risk-based approach, with 21-day self-monitoring for travellers returning from affected areas. Returning healthcare workers undergo exposure-based risk assessment and follow-up, with active monitoring and temporary work restrictions for significant exposures.
Sweden: Relies primarily on public health surveillance systems and exposure-based follow-up, with returning healthcare workers managed according to occupational health and local public health procedures
UK: Returning Workers Scheme, originally established for the 2013 to 2016 Ebola virus outbreak, which provides monitoring and support for returning humanitarian and healthcare workers. 
US: Temporary entry limitations have been introduced for all travellers recently in the DRC, with case-by-case humanitarian and law enforcement exceptions, and for certain travellers who have been in South Sudan or Uganda during the previous 21 days. For travellers authorised to enter the US, access is restricted to designated airports and includes mandatory health screening procedures upon arrival, with in-person evaluation by personnel from the Centers for Disease Control and Prevention. Asymptomatic travellers may continue to their destination under symptom monitoring for 21 days, whereas symptomatic individuals may be transferred to a hospital for isolation and diagnostic evaluation.</t>
  </si>
  <si>
    <t>Authors outlined the measures in place in Europe and the US as in June 2026 and compared them with those adopted during the 2013 to 2016 Ebola virus outbreak, using publicly available information together with information shared by public health and infectious disease experts from different countries collaborating on preparedness for high-consequence infectious diseases within the newly formed European High-Level Isolation Unit network. Information on current preparedness measures (2026) was obtained from publicly available documents issued by national public health authorities, Ministries of Health, ECDC and CDC.  Information on the 2013–2016 Ebola virus outbreak was obtained from publicly available guidance and official documents available during that outbreak and supplemented by information provided by national public health and infectious diseases experts participating in the European High-Level Isolation Unit Network.</t>
  </si>
  <si>
    <t>Garrett, et al, (2026), The Lancet Regional Health - Americas</t>
  </si>
  <si>
    <t>Lessons from the Bundibugyo outbreak for the Americas</t>
  </si>
  <si>
    <t>10.1016/j.lana.2026.101563</t>
  </si>
  <si>
    <t>https://www.scopus.com/pages/publications/105044202936?origin=resultslist</t>
  </si>
  <si>
    <t>https://doi.org/10.1016/j.lana.2026.101563</t>
  </si>
  <si>
    <t>Evidence for a detection ceiling in the 2026 Bundibugyo virus disease epidemic in the Democratic Republic of the Congo: an analysis of publicly reported aggregate surveillance data</t>
  </si>
  <si>
    <t>10.64898/2026.07.16.26358218</t>
  </si>
  <si>
    <t>http://europepmc.org/abstract/PPR/PPR1280853 https://doi.org/10.64898/2026.07.16.26358218</t>
  </si>
  <si>
    <t>https://doi.org/10.64898/2026.07.16.26358218</t>
  </si>
  <si>
    <t>This study aimed to evaluate trends in the outbreak data and provide some adjusted estimates based on publicly available data from May 15- July 13. Rt has been decreasing, 1.28 on July 7th falling from 2.9 in mid-May. The most plausible CFR estimate is 50.2% (outcome-delay-adjusted ratio that accounts for the proportion of cases expected to have an outcome in the interval being analysed.) rather than the crude estimate of 37.5%. These findings should be interpreted cautiously as the analysis relied solely on published confirmed-case data, parameters were derived from other ebolaviruses and delay distributions were assumed which may bias estimates.</t>
  </si>
  <si>
    <t>Epidemiological Parameter - Reproduction Number (R0/Rt):
Three delay scenarios:  Assumed onset-to-report delays (mean 5, 7 and 9 days).The instantaneous reproduction number fell from 2.94 (95% CrI 2.49–3.45) on 20 May to 1.89 (1.65–2.14) on 1 June, 1.41 (1.25–1.58) on 10 June, and thereafter plateaued slightly above unity: 1.30 175 (1.16–1.44) on 30 June and 1.28 (1.15–1.41) on 7 July . This trajectory was robust across the three delay scenarios.
Epidemiological Parameter - Other:   
Growth on the reconstructed onset curve over the final fourteen reliable days corresponded to r = 0.008 per day, a doubling time of approximately 90 days. The equivalent figure computed from cumulative confirmed cases over 17 June–13 July (896 to 2,011) is 22 days — a fourfold discrepancy arising because a cumulative total doubles even when incidence is constant.
First, doubling times computed from cumulative counts are artefacts. The widely quoted 22 days differs from the correctly computed value by a factor of four, and the two point to opposite operational conclusions. This is an elementary error, but it has evidently propagated, and it should be retired from discussion of this epidemic. 
Clinical Data - Mortality: 
At the data cut-off, 74.7% of reported cases would be expected to have a known outcome.  The three estimators gave 37.5% (crude), 50.2% (outcome-delay-adjusted) and 67.3% (resolved-case).  The crude and resolved-case values bound the estimate from below and above respectively; the adjusted value is the most plausible point estimate.
Crude CFR was 34.9% (95% CI 32.7–37.1) in Ituri, which accounted for 89.9% of confirmed cases; 58.2% (50.7–65.5) in North Kivu; and 81.0% (58.1–94.6) in South Kivu, Haut-Uele and Tshopo combined.
The current outcome-delay-adjusted estimate lies within the approximately 40–61% range reported among laboratory-confirmed cases in the two previous outbreaks</t>
  </si>
  <si>
    <t>The authors assembled 12 publicly reported surveillance anchor points of cumulative laboratory-confirmed Bundibugyo virus disease cases, deaths, and recoveries in the DRC between 15 May and 13 July 2026 from WHO, WHO AFRO, NICD, and DRC INSP reports. They reconstructed symptom-onset dates using Richardson–Lucy deconvolution with right-truncation correction under assumed onset-to-report delays (mean 5, 7, and 9 days), estimated the instantaneous reproduction number (Rt) from the reconstructed onset curve, and calculated crude, resolved-case, and outcome-delay-adjusted case fatality ratios. Provincial CFRs were estimated with exact binomial confidence intervals, and uncertainty intervals pooled results across the three delay scenarios and 300 Poisson resamples.
This analysis is constrained by what has been published, and its central argument — that the published data have stopped being informative about transmission — applies to the analysis itself. We had no access to line lists, laboratory registers, contact-tracing databases or field observation.  The delay distributions are assumed rather than estimated, and the serial interval is borrowed from a different orthoebolavirus; if the BDBV serial interval is shorter, Rt is overestimated.   The final death-to-case ratio rests on a single day. The pooled third provincial stratum rests on only 21 cases, although its component province counts were verified directly against the national situation report .  Population denominators were not applied, because reliable current denominators are unavailable amid mass displacement, so no attack rates are reported.</t>
  </si>
  <si>
    <t>CassasusB, (2026), BMJ</t>
  </si>
  <si>
    <t>Ebola: France announces first case as doctor tests positive after returning from DRC</t>
  </si>
  <si>
    <t>10.1136/bmj-2026-100079</t>
  </si>
  <si>
    <t>http://www.bmj.com/ https://ovidsp.ovid.com/ovidweb.cgi?T=JS&amp;PAGE=reference&amp;D=emexb&amp;NEWS=N&amp;AN=2047022108 http://CT4XW3QJ9Z.search.serialssolutions.com/?url_ver=Z39.88-2004&amp;rft_val_fmt=info:ofi/fmt:kev:mtx:journal&amp;rfr_id=info:sid/Ovid:emexb&amp;rft.genre=article&amp;rft_id=info:doi/10.1136%2Fbmj-2026-100079&amp;rft_id=info:pmid/42349929&amp;rft.issn=0959-8146&amp;rft.volume=393&amp;rft.issue=&amp;rft.spage=e100079&amp;rft.pages=&amp;rft.date=2026&amp;rft.jtitle=BMJ&amp;rft.atitle=Ebola%3A+France+announces+first+case+as+doctor+tests+positive+after+returning+from+DRC&amp;rft.aulast=Cassasus</t>
  </si>
  <si>
    <t>https://www.bmj.com/content/393/bmj-2026-100079</t>
  </si>
  <si>
    <t>AndreE, et al, (2026), The Lancet</t>
  </si>
  <si>
    <t>Urgent call for an Ebola truce in DR Congo</t>
  </si>
  <si>
    <t>https://www.sciencedirect.com/science/journal/01406736 https://ovidsp.ovid.com/ovidweb.cgi?T=JS&amp;PAGE=reference&amp;D=emexb&amp;NEWS=N&amp;AN=2046067776 http://CT4XW3QJ9Z.search.serialssolutions.com/?url_ver=Z39.88-2004&amp;rft_val_fmt=info:ofi/fmt:kev:mtx:journal&amp;rfr_id=info:sid/Ovid:emexb&amp;rft.genre=article&amp;rft_id=info:doi/10.1016%2FS0140-6736%252826%252901102-5&amp;rft_id=info:pmid/42248157&amp;rft.issn=0140-6736&amp;rft.volume=407&amp;rft.issue=10547&amp;rft.spage=2498&amp;rft.pages=2498-2499&amp;rft.date=2026&amp;rft.jtitle=The+Lancet&amp;rft.atitle=Urgent+call+for+an+Ebola+truce+in+DR+Congo&amp;rft.aulast=Andre</t>
  </si>
  <si>
    <t>https://www.sciencedirect.com/science/article/pii/S0140673626011025?via%3Dihub</t>
  </si>
  <si>
    <t>Communicable disease threats report, 13 - 17 July 2026, week 29</t>
  </si>
  <si>
    <t>https://www.ecdc.europa.eu/en/publications-data/communicable-disease-threats-report-13-17-july-2026-week-29</t>
  </si>
  <si>
    <t>Cross-border travel patterns affect magnitude estimates for the Ebola Bundibugyo epidemic</t>
  </si>
  <si>
    <t>https://www.nature.com/articles/s44360-026-00178-y</t>
  </si>
  <si>
    <t>Epidemiological Parameter - Estimates of outbreak size or duration:    
Assuming three imported cases in Uganda:
Ituri only:  Considering all travellers, the estimated number of BVDV cases in DRC ranged from 2154 to 3024 cases for baseline trip durations (i.e majority were less than a day) for median infection-to-detection interval of 10 - 20 days while those whose travel duration was long led to a range of 347 to 683 cases across scenarios.  Considering non-day-travellers, baseline trip durations, estimated number of cases ranged from 2390 to 3511 cases. 
Ituri+Nord Kivu: 
Considering all travellers, the estimated number of BVDV cases in DRC ranged from 2831 to 3975 cases for baseline trip durations (i.e majority were less than a day) for median infection-to-detection interval of 10 - 20 days while those whose travel duration was long led to a range of 456 to 898 cases across scenarios.  Considering non-day-travellers, baseline trip durations, estimated number of cases ranged from 4142 to 4617 cases. 
 Accounting for different scenarios of trip durations and excluding healthcare-seeking travellers substantially impact the estimates for the BVD case burden in the DRC. With three imported cases, accounting for the observed pattern of trip durations from Ituri and Nord Kivu, the DRC, to Uganda substantially increased the central estimates and widened the 95% confidence intervals compared to not accounting for travel durations within our framework and to those reported recently. 
Assuming zero imported cases in Uganda, excluding imported cases who travelled for healthcare.
Across all scenarios the estimated number of cases was 0 for both Ituri only and Ituri +Nord Kivu.
With zero imported cases (that is, after excluding the three imported cases given their healthcare-seeking travel behaviour) and accounting for trip durations, the central estimates and the lower confidence limits were uninformative (zero by definition); however, the upper confidence limits provided informative likely upper bounds for the early BVD burden in the DRC, which can be used to inform epidemic responses; if the true BVD cases in the DRC were higher than these upper limits, non-zero imported cases would have been expected among individuals travelling to Uganda for general purposes, including healthcare not specifically related to Bundibugyo virus infection.</t>
  </si>
  <si>
    <t>The authors adapted a geographic spread approach to estimate the burden of Bundibugyo virus disease in the Democratic Republic of the Congo using cases exported to Uganda, explicitly accounting for cross-border travel duration and healthcare-seeking travel behavior. They combined border flow monitoring data, traveller volumes, source population estimates, and assumed infection-to-detection intervals (median 10, 15, and 20 days) to estimate the probability that infected individuals would be detected in Uganda while travelling. This probability was then used to infer the number of cases in the DRC and to compare outbreak-size estimates under scenarios with and without accounting for travel duration and healthcare-seeking exported cases.
We reclassified travel duration categories into three categories and calculated the proportion of each category by normalizing the reported data to exclude unknown travel durations: (a) less than 1 day (64.7%), (b) 1 day to 1 week (25.9%) and (c) longer than 1 week (9.4%). For the alternative scenario, data were obtained from the April 2019 Uganda–DRC Border
Flow Monitoring Dashboard (Alternative scenario)8
: (a) less than 1 day (47.4%), (b) 1 day to 1 week (45.4%) and (c) longer than 1 week (7.2%).
Data on the daily number of travellers from  turi (n = 1,871) and both Ituri and Nord Kivu (n = 4,339) to Uganda were
obtained from McCabe et al.9. Using the same data allowed the direct assessment on the impact of accounting travel duration and the number of exported cases analysed. For the analyses focusing on non-day travellers, we scaled the daily number of travellers by the proportion of non-day travellers (35.3%) obtained from the March 2020 Uganda–DRC Border Flow Monitoring Dashboard March 2020: Ituri (n = 660) and
both Ituri and Nord Kivu (n = 1,531). The corresponding source population sizes were also obtained from McCabe et al.9
: Ituri (n = 4,392,200)and both Ituri and Nord Kivu (n = 13,392,200).</t>
  </si>
  <si>
    <t>This study conducted an expanded a geographic spread approach to understand the complex  cross-border travel patterns between DRC and Uganda on number of BVDV case estimates and disease burden in the DRC (i.e., uses  imported cases to estimate true disease burden in DRC). The study underscores the importance of understanding the population seeking cross-border travel (e.g. healthcare seeking behavior context) and travel duration as it impacts the infection risk and magnitude of disease burden. These findings should be interpreted cautiously as the analysis relied solely on published confirmed-case data, estimates were derived from other ebolaviruses and delay distributions were assumed which may have led to the difference in estimates reported in this study.</t>
  </si>
  <si>
    <t>Kuppalli, et al, (2026), The Lancet Infectious Diseases</t>
  </si>
  <si>
    <t>Reconsidering the rVSVDELTAG-ZEBOV-GP vaccine during the 2026 Bundibugyo virus outbreak</t>
  </si>
  <si>
    <t>10.1016/S1473-3099(26)00382-8</t>
  </si>
  <si>
    <t>https://ovidsp.ovid.com/ovidweb.cgi?T=JS&amp;PAGE=reference&amp;D=medp&amp;NEWS=N&amp;AN=42476156 http://CT4XW3QJ9Z.search.serialssolutions.com/?url_ver=Z39.88-2004&amp;rft_val_fmt=info:ofi/fmt:kev:mtx:journal&amp;rfr_id=info:sid/Ovid:medp&amp;rft.genre=article&amp;rft_id=info:doi/10.1016%2FS1473-3099%2826%2900382-8&amp;rft_id=info:pmid/42476156&amp;rft.issn=1473-3099&amp;rft.volume=&amp;rft.issue=&amp;rft.spage=&amp;rft.pages=&amp;rft.date=2026&amp;rft.jtitle=The+Lancet+Infectious+Diseases&amp;rft.atitle=Reconsidering+the+rVSVDELTAG-ZEBOV-GP+vaccine+during+the+2026+Bundibugyo+virus+outbreak.&amp;rft.aulast=Kuppalli</t>
  </si>
  <si>
    <t>https://doi.org/10.1016/S1473-3099(26)00382-8</t>
  </si>
  <si>
    <t>Vaccine immunity - Protection from infection and other disease outcomes (efficacy/effectiveness):
Based primarily on vaccination histories obtained from routine patient interviews and case investigation forms, nine of more than 1000 confirmed BVD cases reported up to June 24, 2026 in the DR Congo Ministry of Health DHIS2 Tracker database had previous rVSVΔG-ZEBOV-GP vaccination, and all survived. Among the 242 deaths with available vaccination status, none occurred among vaccinated individuals. Additionally, at Mongbwalu General Referral Hospital, a cluster of eight health-care workers developed probable BVD following exposure to a pregnant obstetric patient requiring surgical intervention who was retrospectively suspected to have had BVD in early April, 2026. All three health-care workers with previous rVSVΔG-ZEBOV-GP vaccination survived, whereas all five unvaccinated health-care workers died (Lokudu R, unpublished). Although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t>
  </si>
  <si>
    <t>This study describes preliminary epidemiological observations from the current outbreak and used data from the reported up to June 24, 2026 in the DR Congo Ministry of Health DHIS2 Tracker database and  cluster investigation of healthcare workers from the Mongbwalu General Referral Hospital.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
The commentary also provides a review of evidence reported on  experimental, immunological, epidemiological, and operational evidence supporting the rVSVΔG-ZEBOV-GP vaccine (Ervebo) for potential cross-protection.</t>
  </si>
  <si>
    <t>Epidemiological Analysis of the 2026 Bundibugyo Virus Disease Outbreak and Rapid Risk Assessment for North Africa and Europe</t>
  </si>
  <si>
    <t>10.64898/2026.07.19.26358411</t>
  </si>
  <si>
    <t>http://europepmc.org/abstract/PPR/PPR1282894 https://doi.org/10.64898/2026.07.19.26358411</t>
  </si>
  <si>
    <t>The most plausible introduction pathways for North Africa were commercial aviation, returning humanitarian or occupational personnel, multi-leg travel through African, European, Gulf, or Turkish hubs, and controlled medical evacuation. Morocco had advertised direct Kinshasa–Casablanca service, Egypt had substantial hub connectivity with East and Central Africa, and Sudan had a distinct multi-stage overland vulnerability through South Sudan because of conflict-driven mobility and disrupted surveillance, although Ebola’s clinical severity limits prolonged travel after symptom onset.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t>
  </si>
  <si>
    <t>This study analysed the publicly reported trajectory and assessed the risk of introduction and onward transmission in North Africa and Europe by synthesizing public surveillance data from July 15-17. Case notifications in the DRC increased to an average of 47.4 cases per day during 1–15 July, compared with 35.9 cases per day during 2–29 June (rate ratio 1.32; 95% interval 1.20–1.46); More than 80% of newly reported cases were identified outside known contact lists, indicating ongoing gaps in case detection and contact tracing; Introduction likelihood was assessed as very low to low for North Africa and very low for the general European population; delayed recognition in routine healthcare was the principal scenario for limited secondary transmission.</t>
  </si>
  <si>
    <t>Clinical Data - Mortality: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 
Epidemiological Parameter - Other: Notification rates declined gradually across the four June intervals, from 39.7 to 34.1 cases per day, and then increased in July. Excluding the 29 June–1 July interval, the aggregate rate was 35.9 per day during 2–29 June (970 notifications over 27 days; exact counting interval 33.7–38.3) and 47.4 per day during 1–15 July (664 over 14 days; 43.9–51.2). The July-to-June notification-rate ratio was 1.32 (counting model 95% interval 1.20–1.46). This increase cannot be interpreted as a direct measure of biological acceleration.</t>
  </si>
  <si>
    <t>This study is a rapid public-health analysis of publicly available aggregate surveillance data and official risk assessments examining the 2026 BDBV outbreak in the DRC and the potential risk of spread to North Africa. The analysis used laboratory-confirmed cases and deaths, calculated interval-specific notification rates from cumulative confirmed case counts, and applied a risk-assessment framework that considered introduction likelihood, conditional onward-transmission likelihood, impact if detection was delayed, and confidence in the judgement.</t>
  </si>
  <si>
    <t>Lhomme, et al, (2026), The New England journal of medicine</t>
  </si>
  <si>
    <t>Cross-Reactive Bundibugyo Antibody Responses after Receipt of Licensed Ebola Vaccines</t>
  </si>
  <si>
    <t>10.1056/nejmc2608018</t>
  </si>
  <si>
    <t>http://europepmc.org/abstract/MED/42485649 https://doi.org/10.1056/NEJMc2608018</t>
  </si>
  <si>
    <t>https://www.nejm.org/doi/10.1056/NEJMc2608018</t>
  </si>
  <si>
    <t>In this study, cross-reactive antibody responses against multiple filoviruses were analyzed in samples after vaccination with rVSVΔG-ZEBOV-GP (Ervebo; single-dose [rVSV] or prime booster [rVSV booster]) or Ad26.ZEBOV/MVA-BN-Filo (Zabdeno and Mvabea [Ad26.MVA]). Cross-reactive antibody responses against BDBV were detected across all vaccine formulations at 28 days and 3 months  with similar patterns observed in adults and children. BDBV responses remained consistently lower than homologous EBOV responses but were detectable after vaccination, providing in vitro evidence that these Ebola vaccines induce cross-reactive antibody responses against BDBV.</t>
  </si>
  <si>
    <t>This is the published version of an earlier preprint.
Vaccine immunity - Measures of protective immunity (antibodies/titres/cytokines): 
Among the samples, 55 were collected at 28 days and 124 were collected at 3 months, with no matching of samples between the two time points.  Similar patterns were observed in adults and children. Cross-reactive antibody responses against BDBV were detected across all vaccine formulations and at both time points. Similar patterns were observed in adults and children. As expected, BDBV responses remained consistently lower than homologous EBOV responses but were detectable after vaccination. 
In the recipients of the recombinant vesicular stomatitis virus Ebola vaccine (rVSV-EBOV), the response against BDBV (as measured by the median fluorescence intensity [MFI]) was 282 (interquartile range, 164 to 644) at 28 days and 130 (interquartile range, 106 to 436) at 3 months, as compared with 1788 (interquartile range, 832 to 3311) and 1069 (interquartile range, 747 to 1876), respectively, against Kikwit Ebola. Similar findings were observed in the rVSV booster group. After administration of the heterologous Ad26.MVA vaccine, the BDBV response was higher at 3 months (median, 433; interquartile range, 236 to 994) than at 28 days (median, 83; interquartile range, 44 to 131) but remained markedly lower than the corresponding EBOV Kikwit responses.
These findings provide in vitro evidence that these Ebola vaccines induce cross-reactive antibody responses against BDBV.</t>
  </si>
  <si>
    <t>We evaluated cross-reactive antibody responses against multiple filoviruses using serum samples obtained from West African adults and children who had been enrolled in the PREVAC randomized clinical trial.5 We analyzed samples obtained at 28 days and at 3 months after vaccination with rVSVΔG-ZEBOV-GP (Ervebo; single-dose [rVSV] or prime booster [rVSV booster]) or Ad26.ZEBOV/MVA-BN-Filo (Zabdeno and Mvabea [Ad26.MVA]) using a multiplex Luminex assay. Details regarding this analysis are provided in the Methods section in the Supplementary Appendix, available with the full text of this letter at NEJM.org.
We analyzed 179 serum samples obtained from adults and children across vaccine groups at 28 days and 3 months after vaccination. Samples were selected on the basis of availability at the biobank of Institut de Recherche pour le Développement. Overall, the samples reflected the diversity in ages of the patients who were enrolled at multiple centers in the PREVAC trial, which enabled exploratory comparisons across vaccine platforms, age strata, and time points. Among the samples, 55 were collected at 28 days and 124 were collected at 3 months, with no matching of samples between the two time points. (See the Methods section and Table S1 in the Supplementary Appendix.)</t>
  </si>
  <si>
    <t>This commentary describes preliminary epidemiological observations  of potential cross-protection of rVSVΔG-ZEBOV-GP vaccine (Ervebo). The study found all nine of more than 1000 confirmed BVD cases reported up to June 24, 2026 in the DRC Ministry of Health database had previous rVSVΔG-ZEBOV-GP vaccination survived. Among the 242 deaths with available vaccination status, none occurred among vaccinated individuals. A cluster of eight healthcare workers developed probable BVDV  and all three  health-care workers with previous rVSVΔG-ZEBOV-GP vaccination survived, whereas all five unvaccinated health-care workers died. Caution as observations are limited by insufficient vaccination details, small sample size, potential confounding,  and lack of laboratory confirmation.</t>
  </si>
  <si>
    <t>Jain, et al, (2026), Emerging Microbes &amp; Infections</t>
  </si>
  <si>
    <t>Development and Characterization of a Recombinant Bundibugyo Virus Expressing a Fluorescent Reporter Protein</t>
  </si>
  <si>
    <t>10.1080/22221751.2026.2709847</t>
  </si>
  <si>
    <t>https://ovidsp.ovid.com/ovidweb.cgi?T=JS&amp;PAGE=reference&amp;D=medp&amp;NEWS=N&amp;AN=42496613 http://CT4XW3QJ9Z.search.serialssolutions.com/?url_ver=Z39.88-2004&amp;rft_val_fmt=info:ofi/fmt:kev:mtx:journal&amp;rfr_id=info:sid/Ovid:medp&amp;rft.genre=article&amp;rft_id=info:doi/10.1080%2F22221751.2026.2709847&amp;rft_id=info:pmid/42496613&amp;rft.issn=2222-1751&amp;rft.volume=&amp;rft.issue=&amp;rft.spage=2709847&amp;rft.pages=2709847&amp;rft.date=2026&amp;rft.jtitle=Emerging+Microbes+%26+Infections&amp;rft.atitle=Development+and+Characterization+of+a+Recombinant+Bundibugyo+Virus+Expressing+a+Fluorescent+Reporter+Protein.&amp;rft.aulast=Jain</t>
  </si>
  <si>
    <t>https://www.tandfonline.com/doi/full/10.1080/22221751.2026.2709847</t>
  </si>
  <si>
    <t>Researchers developed the first fluorescent recombinant Bundibugyo virus (rBDBV-ZsG); a useful tool for studying BDBV replication and pathogenesis. They tested a set of previously characterized antiviral compounds and demonstrated comparable inhibitory profiles between rBDBV-ZsG and the wild-type BDBV parental strain. The tool also accurately measured antibody neutralization using monoclonal antibodies and convalescent serum samples.</t>
  </si>
  <si>
    <t>Pathogen studies - Protein-inhibitor/binding interactions: Describe the development of a recombinant BDBV reporter virus expressing ZsG (rBDBV-ZsG); a useful tool for studying BDBV replication and pathogenesis. rBDBV-ZsG responded to antiviral drugs in essentially the same way as the wild-type Bundibugyo virus. Furthermore, the authors show that viral polymerase inhibitors previously reported to be effective against ZEBOV were also active against BDBV. Confirmed the potent antiviral activity of remdesivir against BDBV, with an EC₅₀ of approximately 10 nM as previously reported. rBDBV-ZsG accurately measured whether monoclonal antibodies and blood samples from recovered patients could neutralize the virus. Archived serum samples from 2007 BDBV outbreak neutralized BDBV-ZsG efficiently, suggesting that these individuals have BDBV-specific neutralizing antibody activity.</t>
  </si>
  <si>
    <t>Researchers generated a recombinant Bundibugyo virus (rBDBV-ZsG) carrying a fluorescent ZsGreen reporter, rescued it in Huh7 cells, and confirmed its genetic integrity by next-generation sequencing. They characterized the virus using immunofluorescence assays, growth kinetics, and virus titration, and then evaluated its utility for antiviral screening and antibody neutralization studies under BSL-4 containment.
Antiviral activity was assessed by infecting cultured cells with either the reporter virus or wild-type BDBV and measuring inhibition, cytotoxicity, and screening performance metrics such as EC₅₀, CC₅₀, selectivity index, and Z′ score. Neutralization assays were performed using a pan-ebolavirus monoclonal antibody and archived human sera from the 2007 Uganda BDBV outbreak, with neutralizing activity quantified by reductions in ZsGreen fluorescence and calculation of IC₅₀ values.</t>
  </si>
  <si>
    <t>Hoffmann, et al, (2026), The Lancet Infectious Diseases</t>
  </si>
  <si>
    <t>Pseudovirus-based analysis of host cell entry and vaccine-induced neutralisation of Bundibugyo virus</t>
  </si>
  <si>
    <t>10.1016/S1473-3099(26)00407-X</t>
  </si>
  <si>
    <t>https://ovidsp.ovid.com/ovidweb.cgi?T=JS&amp;PAGE=reference&amp;D=medp&amp;NEWS=N&amp;AN=42492560 http://CT4XW3QJ9Z.search.serialssolutions.com/?url_ver=Z39.88-2004&amp;rft_val_fmt=info:ofi/fmt:kev:mtx:journal&amp;rfr_id=info:sid/Ovid:medp&amp;rft.genre=article&amp;rft_id=info:doi/10.1016%2FS1473-3099%2826%2900407-X&amp;rft_id=info:pmid/42492560&amp;rft.issn=1473-3099&amp;rft.volume=&amp;rft.issue=&amp;rft.spage=&amp;rft.pages=&amp;rft.date=2026&amp;rft.jtitle=The+Lancet+Infectious+Diseases&amp;rft.atitle=Pseudovirus-based+analysis+of+host+cell+entry+and+vaccine-induced+neutralisation+of+Bundibugyo+virus.&amp;rft.aulast=Hoffmann</t>
  </si>
  <si>
    <t>https://doi.org/10.1016/S1473-3099(26)00407-X</t>
  </si>
  <si>
    <t>In this correspondance, in vitro studies in cell lines, dendritic cells, and macrophages suggest that the unique polymorphisms in BDBV2026 glycoprotein do not affect cell entry efficiency. This study also provides evidence that the licensed VSV-EBOV vaccine induces antibodies that cross-neutralise all three BDBV strains with similar potency and durability, albeit with reduced potency compared with EBOV, and cross-neutralisation was not observed for three samples at day 28 and four samples at day 180 after vaccination. Nevertheless, these findings suggest that VSV-EBOV may confer some degree of cross-protection against BDBV.</t>
  </si>
  <si>
    <t>Mutations - All  pseudovirus particles entered HEK-293T cells with similar efficiency, whereas BDBV glycoprotein-bearing particles were slightly less efficient in entering Huh-7 cells compared with EBOVpp and SUDVpp (appendix pp 10–11). For dendritic cells and macrophages, a robust and similar entry of SUDVpp, BDBV2007–08pp, BDBV2012pp, and BDBV2026pp was detected, whereas EBOVpp showed reduced entry. In general, no differences in entry efficiencies were observed among particles bearing the different BDBV glycoprotein variants.
Vaccine immunity - Measures of protective immunity (antibodies/titres/cytokines): Before vaccination, none of the serum samples neutralised any of the pseudoviruses tested. In contrast, all vaccinees developed robust neutralising activity against EBOVpp at both 28 days (geometric mean titre [GMT] 43·0) and 180 days (GMT 34·1) after vaccination. Neutralisation of SUDVpp was low (GMT 6·6 at 28 days and 5·8 at 180 days), with detectable activity in only two vaccine recipients at 28 days and one vaccine recipient at 180 days after vaccination. Notably, antibodies elicited by VSV-EBOV also neutralised pseudoviruses bearing the glycoprotein of all three BDBV strains with similar potency, although neutralisation was 3·5–3·6-times less efficient compared with EBOVpp. BDBV-specific neutralisation was detected in six (70%) of ten vaccine recipients at day 28 (GMTs 12·1–12·3) and six (60%) at day 180 (GMTs 9·6–9·8.</t>
  </si>
  <si>
    <t>Generated particles carrying the glycoprotein of three BDBV strains (BDBV2007–08pp, BDBV2012pp, and BDBV2026pp), the 2014 west African EBOV strain (EBOVpp), and the 1976 SUDV strain (SUDVpp). The three BDBV glycoproteins differ by sixteen polymorphisms, with BDBV2007–08 glycoprotein containing ten unique polymorphisms, BDBV2012 glycoprotein containing four unique polymorphisms, and BDBV2026-glycoprotein containing two unique polymorphisms.  Investigated glycoprotein-mediated viral entry of these particles into two human cell lines, HEK-293T (kidney) and Huh-7 (liver), and human peripheral blood monocyte-derived dendritic cells and macrophages, the latter of which are primary target cells of orthoebolaviruses. Then, they investigated whether the licensed VSV-EBOV vaccine (Ervebo, Merck; IDT Biologika, Dessau-Rosslau, Germany) induces antibodies that cross-neutralise BDBV2026pp. They analysed serum samples that were collected from ten healthy volunteers before vaccination and at 28 days and 180 days after recombinant VSV-Zaire ebolavirus (rVSV-ZEBOV) vaccination during a previous phase 1 clinical trial.</t>
  </si>
  <si>
    <t>Mohamed, et al, (2026), Journal of Virus Eradication</t>
  </si>
  <si>
    <t>Strengthening Ebola virus disease preparedness in Somalia: Lessons from the 2026 Eastern DRC outbreak for early warning and rapid response</t>
  </si>
  <si>
    <t>10.1016/j.jve.2026.100632</t>
  </si>
  <si>
    <t>https://ovidsp.ovid.com/ovidweb.cgi?T=JS&amp;PAGE=reference&amp;D=pmnm&amp;NEWS=N&amp;AN=42494890 http://CT4XW3QJ9Z.search.serialssolutions.com/?url_ver=Z39.88-2004&amp;rft_val_fmt=info:ofi/fmt:kev:mtx:journal&amp;rfr_id=info:sid/Ovid:pmnm&amp;rft.genre=article&amp;rft_id=info:doi/10.1016%2Fj.jve.2026.100632&amp;rft_id=info:pmid/42494890&amp;rft.issn=2055-6640&amp;rft.volume=12&amp;rft.issue=3&amp;rft.spage=100632&amp;rft.pages=100632&amp;rft.date=2026&amp;rft.jtitle=Journal+of+Virus+Eradication&amp;rft.atitle=Strengthening+Ebola+virus+disease+preparedness+in+Somalia%3A+Lessons+from+the+2026+Eastern+DRC+outbreak+for+early+warning+and+rapid+response.&amp;rft.aulast=Mohamed</t>
  </si>
  <si>
    <t>https://doi.org/10.1016/j.jve.2026.100632</t>
  </si>
  <si>
    <t>Juyal, et al, (2026), Journal of travel medicine</t>
  </si>
  <si>
    <t>The 2026 Bundibugyo outbreak exposes critical gaps in ebola vaccine preparedness beyond Zaire and Sudan</t>
  </si>
  <si>
    <t>10.1093/jtm/taag067</t>
  </si>
  <si>
    <t>http://europepmc.org/abstract/MED/42497090 https://doi.org/10.1093/jtm/taag067</t>
  </si>
  <si>
    <t>https://academic.oup.com/jtm/advance-article/doi/10.1093/jtm/taag067/8741531?login=true</t>
  </si>
  <si>
    <t>"Blame the bats again": YouTube reactions to the 2026 Ebola public health emergency reveal mistrust, misinformation, and geopolitical anxiety</t>
  </si>
  <si>
    <t>10.64898/2026.07.22.26358723</t>
  </si>
  <si>
    <t>http://europepmc.org/abstract/PPR/PPR1285745 https://doi.org/10.64898/2026.07.22.26358723</t>
  </si>
  <si>
    <t>https://www.medrxiv.org/content/10.64898/2026.07.22.26358723v1</t>
  </si>
  <si>
    <t>This study analysed public discourse and sentiment surrounding the outbreak, focusing on thematic trends in YouTube comments, using a qualitative synthesis that combined thematic content analysis with topic modelling. Five themes emerged: geopolitical and cultural context (25.5%); public figures, conspiracy theories, and misinformation (28.5%); disease spread and transmission (21.5%); public health measures and preparedness (20.2%); and religious and spiritual interpretation (4.3%). Discourse was strongly shaped by border concerns, mistrust of institutions, global aid politics, and comparisons with COVID-19, and sentiment was split near-evenly between fear and trust.</t>
  </si>
  <si>
    <t>Internet Analytics:  Authors identified YouTube videos related to the current Ebola outbreak and analyzed 4087 meaningful comments across 5 themes: Public figures, conspiracy theories, and misinformation, Geopolitical and cultural context, Disease spread and transmission, Public health measures and preparedness, Religious and spiritual interpretation. 
Public figures, conspiracy theories, and misinformation: This was the most prominent theme, accounting for 28.5% of comments, centred on distrust of institutions and unfounded claims. The Conspiracy subtheme included assertions that "viruses are made in a laboratory" and that "African leaders have trusted the West too much," while the Misinformation subtheme captured accusations of orchestrated alarm, with one user insisting they would not "fall for those lies anymore... fearmongering posters, videos, lies." Discussion also linked the outbreak to international aid decisions and named public figures, reflecting broader scepticism toward global health institutions.
Geopolitical and cultural context: This theme accounted for 25.5% of comments. The Borders and Travel subtheme captured strong demands for border and flight restrictions with affected countries, while the Regional Focus subtheme reflected discussion of the DRC and the wider African region as the outbreak's epicentre, frequently framed against global power and resource interests. One commenter questioned the geopolitical framing, asking "how the whole narrative would change if Congo had no exploitable minerals," while another pushed back on generalisations about the continent, noting that "not all countries in Africa have Ebola. Africa is made of many countries."
Disease spread and transmission: This theme accounted for 21.5% of comments and addressed how Ebola spreads and how dangerous it might become. A Transmission Routes subtheme featured discussion of animal sources and bushmeat, including resigned remarks such as "it's only confined until it's not. Oh, blame the bats again." A Comparative subtheme drew repeated parallels with COVID-19 and other outbreaks, with one commenter listing "measles, hanta, Ebola, COVID" and concluding that "humanity is not prepared." 
Public health measures and preparedness: This theme accounted for 20.2% of comments and covered vaccines, protective behaviour, and health-system capacity. The Vaccination subtheme reflected frustration over the pace of development, exemplified by the question, "COVID came out and within a year we had vaccines, but Ebola has been a threat for years and still no vaccine?" The Preparedness subtheme captured practical concerns about containment, with one user observing that "finding people who have been exposed is extremely difficult since people are always travelling around the world."
Religious and spiritual interpretation: This theme accounted for 4.3% of comments. Commenters framed the outbreak in spiritual terms, debating divine versus human causation, "is it the government or is it God doing this?", and expressing faith-based responses such as "I hope and pray that it will not spread worldwide."
Sentiment: Lexicon-based analysis showed a near-even split between negative (4,390) and positive (4,287) valence. Among discrete emotions, fear (2,846) and trust (2,841) were the most prominent and almost equally weighted, followed by anticipation (2,226) and sadness (2,201), and then anger (1,720), joy (1,483), disgust (1,483), and surprise (1,362). This balance indicates that public discourse was shaped simultaneously by apprehension about the outbreak and by expressions of trust and hope.</t>
  </si>
  <si>
    <t>The study analyzed public responses to the 2026 Bundibugyo virus disease outbreak by examining comments on the 10 most-viewed Ebola-related YouTube videos posted after the WHO declared the outbreak a Public Health Emergency of International Concern. Researchers collected and cleaned more than 4,000 comments, applied topic modeling to identify major discussion themes, and performed sentiment analysis to measure the emotions and attitudes expressed by users. Using Latent Dirichlet Allocation (LDA), comments were grouped into 20 topics and then consolidated into five broader themes, while sentiment analysis classified comments according to emotional tone. The study was conducted entirely using publicly available data, following STROBE reporting guidelines, with all analyses performed in R and measures taken to preserve commenter anonymity.</t>
  </si>
  <si>
    <t>Vaccine gaps in Bundibugyo ebolavirus outbreak control and their implications for global public health preparedness and response</t>
  </si>
  <si>
    <t>10.21203/rs.3.rs-10092649/v1</t>
  </si>
  <si>
    <t>http://europepmc.org/abstract/PPR/PPR1285511 https://doi.org/10.21203/rs.3.rs-10092649/v1</t>
  </si>
  <si>
    <t>https://www.researchsquare.com/article/rs-10092649/v1</t>
  </si>
  <si>
    <t>The, et al, (2026), The Lancet Haematology</t>
  </si>
  <si>
    <t>Ebola outbreak: why haematology matters</t>
  </si>
  <si>
    <t>10.1016/S2352-3026</t>
  </si>
  <si>
    <t>https://www.sciencedirect.com/science/journal/23523026 https://ovidsp.ovid.com/ovidweb.cgi?T=JS&amp;PAGE=reference&amp;D=emexb&amp;NEWS=N&amp;AN=2047000222 http://CT4XW3QJ9Z.search.serialssolutions.com/?url_ver=Z39.88-2004&amp;rft_val_fmt=info:ofi/fmt:kev:mtx:journal&amp;rfr_id=info:sid/Ovid:emexb&amp;rft.genre=article&amp;rft_id=info:doi/10.1016%2FS2352-3026%252826%252900170-5&amp;rft_id=info:pmid/42269652&amp;rft.issn=2451-9960&amp;rft.volume=13&amp;rft.issue=7&amp;rft.spage=e427&amp;rft.pages=e427-e427&amp;rft.date=2026&amp;rft.jtitle=The+Lancet+Haematology&amp;rft.atitle=Ebola+outbreak%3A+why+haematology+matters&amp;rft.aulast=The+Lancet</t>
  </si>
  <si>
    <t>https://www.thelancet.com/journals/lanhae/article/PIIS2352-3026(26)00170-5/fulltext</t>
  </si>
  <si>
    <t>Communicable disease threats report, 18 - 24 July 2026, week 30</t>
  </si>
  <si>
    <t>https://www.ecdc.europa.eu/en/publications-data/communicable-disease-threats-report-18-24-july-2026-week-30</t>
  </si>
  <si>
    <t>First person gets new experimental vaccine for Ebola</t>
  </si>
  <si>
    <t>https://www.bbc.com/news/articles/c8jn007gmpzo?at_medium=RSS&amp;at_campaign=rss</t>
  </si>
  <si>
    <t xml:space="preserve">Zhang, et al, (2026) </t>
  </si>
  <si>
    <t xml:space="preserve">Kupferschmidt, et al, (2026) </t>
  </si>
  <si>
    <t xml:space="preserve">, (2026) </t>
  </si>
  <si>
    <t xml:space="preserve">Grewe, et al, (2026) </t>
  </si>
  <si>
    <t xml:space="preserve">The Lancet, et al, (2026) </t>
  </si>
  <si>
    <t xml:space="preserve">Velavan, et al, (2026) </t>
  </si>
  <si>
    <t xml:space="preserve">WHO, (2026) </t>
  </si>
  <si>
    <t xml:space="preserve">PHAC, (2026) </t>
  </si>
  <si>
    <t xml:space="preserve">ECDC, (2026) </t>
  </si>
  <si>
    <t xml:space="preserve">PAHO, (2026) </t>
  </si>
  <si>
    <t xml:space="preserve">PHO, (2026) </t>
  </si>
  <si>
    <t xml:space="preserve">UK Health Security Agency, () </t>
  </si>
  <si>
    <t xml:space="preserve">Bosa, et al, (2026) </t>
  </si>
  <si>
    <t xml:space="preserve">Public Health Ontario, (2026) </t>
  </si>
  <si>
    <t xml:space="preserve">Sigfrid, et al, (2026) </t>
  </si>
  <si>
    <t xml:space="preserve">Ghafari, et al, (2026) </t>
  </si>
  <si>
    <t xml:space="preserve">Pan American Health Organization, (2026) </t>
  </si>
  <si>
    <t xml:space="preserve">Belizaire, et al, (2026) </t>
  </si>
  <si>
    <t xml:space="preserve">Nachega, et al, (2026) </t>
  </si>
  <si>
    <t xml:space="preserve">CDC, (2026) </t>
  </si>
  <si>
    <t xml:space="preserve">Health Emergency Alert and Response Operations (EOP), (2026) </t>
  </si>
  <si>
    <t xml:space="preserve">Checchi, et al, (2026) </t>
  </si>
  <si>
    <t xml:space="preserve">Nature, (2026) </t>
  </si>
  <si>
    <t xml:space="preserve">O’Donnell, et al, (2026) </t>
  </si>
  <si>
    <t xml:space="preserve">Kopp, et al, (2026) </t>
  </si>
  <si>
    <t xml:space="preserve">Bhadelia, et al, (2026) </t>
  </si>
  <si>
    <t xml:space="preserve">Schmidt-Sane, et al, (2026) </t>
  </si>
  <si>
    <t xml:space="preserve">Mbala-Kingebeni, et al, (2026) </t>
  </si>
  <si>
    <t xml:space="preserve">Mbulayi, et al, (2026) </t>
  </si>
  <si>
    <t xml:space="preserve">Walekhwa, et al, (2026) </t>
  </si>
  <si>
    <t xml:space="preserve">Chamla, et al, (2026) </t>
  </si>
  <si>
    <t xml:space="preserve">Gashema, et al, (2026) </t>
  </si>
  <si>
    <t xml:space="preserve">Halbrook, et al, (2026) </t>
  </si>
  <si>
    <t xml:space="preserve">Dereje, et al, (2026) </t>
  </si>
  <si>
    <t xml:space="preserve">Gribble, et al, (2026) </t>
  </si>
  <si>
    <t xml:space="preserve">Akem, et al, (2026) </t>
  </si>
  <si>
    <t xml:space="preserve">Stapley, et al, (2026) </t>
  </si>
  <si>
    <t xml:space="preserve">Epistorm · Northeastern University&amp;nbsp, et al, () </t>
  </si>
  <si>
    <t xml:space="preserve">Epistorm · Northeastern University, et al, () </t>
  </si>
  <si>
    <t xml:space="preserve">ZENG, et al, (2026) </t>
  </si>
  <si>
    <t xml:space="preserve">Martin, et al, (2026) </t>
  </si>
  <si>
    <t xml:space="preserve">Gacayan, et al, (2026) </t>
  </si>
  <si>
    <t xml:space="preserve">Public Health Agency of Canada (PHAC), (2026) </t>
  </si>
  <si>
    <t xml:space="preserve">Andrews, et al, (2026) </t>
  </si>
  <si>
    <t xml:space="preserve">Kelvin, et al, (2026) </t>
  </si>
  <si>
    <t xml:space="preserve">Elvis Akem, et al, (2026) </t>
  </si>
  <si>
    <t xml:space="preserve">Karim, et al, (2026) </t>
  </si>
  <si>
    <t xml:space="preserve">Public Health Ontario, () </t>
  </si>
  <si>
    <t xml:space="preserve">Africa CDC, (2026) </t>
  </si>
  <si>
    <t xml:space="preserve">Ambe, et al, (2026) </t>
  </si>
  <si>
    <t xml:space="preserve">Jjingo, et al, (2026) </t>
  </si>
  <si>
    <t xml:space="preserve">Bouhentala, et al, (2026) </t>
  </si>
  <si>
    <t xml:space="preserve">Kim, et al, (2026) </t>
  </si>
  <si>
    <t xml:space="preserve">NANTALAGA, et al, (2026) </t>
  </si>
  <si>
    <t xml:space="preserve">Adusei-Mensah, et al, (2026) </t>
  </si>
  <si>
    <t xml:space="preserve">Walsh, et al,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</si>
</sst>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0"/>
      <name val="Calibri"/>
      <family val="2"/>
    </font>
    <font>
      <sz val="10"/>
      <color rgb="FF000000"/>
      <name val="Calibri"/>
      <family val="2"/>
    </font>
    <font>
      <sz val="7"/>
      <color rgb="FF333333"/>
      <name val="Lato"/>
      <family val="2"/>
    </font>
    <font>
      <u/>
      <sz val="12"/>
      <color theme="10"/>
      <name val="Calibri"/>
      <family val="2"/>
    </font>
    <font>
      <sz val="12"/>
      <name val="Calibri"/>
      <family val="2"/>
    </font>
    <font>
      <sz val="12"/>
      <color rgb="FF000000"/>
      <name val="Calibri"/>
    </font>
  </fonts>
  <fills count="6">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7"/>
        <bgColor indexed="64"/>
      </patternFill>
    </fill>
    <fill>
      <patternFill patternType="solid">
        <fgColor theme="0"/>
        <bgColor indexed="64"/>
      </patternFill>
    </fill>
  </fills>
  <borders count="1">
    <border>
      <left/>
      <right/>
      <top/>
      <bottom/>
      <diagonal/>
    </border>
  </borders>
  <cellStyleXfs count="3">
    <xf numFmtId="0" fontId="0" fillId="0" borderId="0"/>
    <xf numFmtId="0" fontId="4" fillId="0" borderId="0" applyNumberFormat="0" applyFill="0" applyBorder="0" applyAlignment="0" applyProtection="0"/>
    <xf numFmtId="0" fontId="6" fillId="0" borderId="0"/>
  </cellStyleXfs>
  <cellXfs count="27">
    <xf numFmtId="0" fontId="0" fillId="0" borderId="0" xfId="0"/>
    <xf numFmtId="0" fontId="2" fillId="0" borderId="0" xfId="0" applyFont="1" applyAlignment="1">
      <alignment horizontal="left" vertical="top" wrapText="1"/>
    </xf>
    <xf numFmtId="0" fontId="0" fillId="0" borderId="0" xfId="0" applyAlignment="1">
      <alignment wrapText="1"/>
    </xf>
    <xf numFmtId="0" fontId="4" fillId="0" borderId="0" xfId="1" applyBorder="1" applyAlignment="1">
      <alignment vertical="top" wrapText="1"/>
    </xf>
    <xf numFmtId="0" fontId="5" fillId="0" borderId="0" xfId="1" applyFont="1" applyBorder="1" applyAlignment="1">
      <alignment vertical="top" wrapText="1"/>
    </xf>
    <xf numFmtId="0" fontId="0" fillId="0" borderId="0" xfId="0" applyAlignment="1">
      <alignment vertical="top" wrapText="1"/>
    </xf>
    <xf numFmtId="0" fontId="3" fillId="4" borderId="0" xfId="0" applyFont="1" applyFill="1" applyAlignment="1">
      <alignment wrapText="1"/>
    </xf>
    <xf numFmtId="0" fontId="1" fillId="2" borderId="0" xfId="0" applyFont="1" applyFill="1" applyAlignment="1">
      <alignment vertical="top" wrapText="1"/>
    </xf>
    <xf numFmtId="0" fontId="0" fillId="3" borderId="0" xfId="0" applyFill="1" applyAlignment="1">
      <alignment wrapText="1"/>
    </xf>
    <xf numFmtId="0" fontId="0" fillId="3" borderId="0" xfId="0" applyFill="1" applyAlignment="1">
      <alignment vertical="top" wrapText="1"/>
    </xf>
    <xf numFmtId="0" fontId="4" fillId="3" borderId="0" xfId="1" applyFill="1" applyBorder="1" applyAlignment="1">
      <alignment vertical="top" wrapText="1"/>
    </xf>
    <xf numFmtId="0" fontId="5" fillId="3" borderId="0" xfId="1" applyFont="1" applyFill="1" applyBorder="1" applyAlignment="1">
      <alignment vertical="top" wrapText="1"/>
    </xf>
    <xf numFmtId="0" fontId="0" fillId="3" borderId="0" xfId="0" applyFill="1"/>
    <xf numFmtId="0" fontId="0" fillId="5" borderId="0" xfId="0" applyFill="1" applyAlignment="1">
      <alignment vertical="top" wrapText="1"/>
    </xf>
    <xf numFmtId="0" fontId="4" fillId="5" borderId="0" xfId="1" applyFill="1" applyBorder="1" applyAlignment="1">
      <alignment vertical="top" wrapText="1"/>
    </xf>
    <xf numFmtId="0" fontId="5" fillId="5" borderId="0" xfId="1" applyFont="1" applyFill="1" applyBorder="1" applyAlignment="1">
      <alignment vertical="top" wrapText="1"/>
    </xf>
    <xf numFmtId="0" fontId="0" fillId="5" borderId="0" xfId="0" applyFill="1"/>
    <xf numFmtId="0" fontId="0" fillId="5" borderId="0" xfId="0" applyFill="1" applyAlignment="1">
      <alignment wrapText="1"/>
    </xf>
    <xf numFmtId="0" fontId="4" fillId="0" borderId="0" xfId="1" applyFill="1" applyBorder="1" applyAlignment="1">
      <alignment vertical="top" wrapText="1"/>
    </xf>
    <xf numFmtId="0" fontId="5" fillId="0" borderId="0" xfId="1" applyFont="1" applyFill="1" applyBorder="1" applyAlignment="1">
      <alignment vertical="top" wrapText="1"/>
    </xf>
    <xf numFmtId="0" fontId="6" fillId="0" borderId="0" xfId="0" applyFont="1" applyAlignment="1">
      <alignment wrapText="1"/>
    </xf>
    <xf numFmtId="0" fontId="0" fillId="0" borderId="0" xfId="0" applyFill="1" applyAlignment="1">
      <alignment vertical="top" wrapText="1"/>
    </xf>
    <xf numFmtId="0" fontId="0" fillId="0" borderId="0" xfId="0" applyFill="1"/>
    <xf numFmtId="0" fontId="0" fillId="0" borderId="0" xfId="0" applyFill="1" applyAlignment="1">
      <alignment wrapText="1"/>
    </xf>
    <xf numFmtId="0" fontId="6" fillId="3" borderId="0" xfId="0" applyFont="1" applyFill="1" applyAlignment="1">
      <alignment wrapText="1"/>
    </xf>
    <xf numFmtId="0" fontId="4" fillId="3" borderId="0" xfId="1" applyFill="1" applyAlignment="1">
      <alignment wrapText="1"/>
    </xf>
    <xf numFmtId="0" fontId="4" fillId="3" borderId="0" xfId="1" applyFill="1"/>
  </cellXfs>
  <cellStyles count="3">
    <cellStyle name="Hyperlink" xfId="1" builtinId="8"/>
    <cellStyle name="Normal" xfId="0" builtinId="0"/>
    <cellStyle name="Normal 2" xfId="2" xr:uid="{5E4AD04D-3C05-4909-B8E0-06ACF4545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helancet.com/journals/lanhae/article/PIIS2352-3026(26)00170-5/fulltext" TargetMode="External"/><Relationship Id="rId1" Type="http://schemas.openxmlformats.org/officeDocument/2006/relationships/hyperlink" Target="https://www.thelancet.com/journals/lanhae/article/PIIS2352-3026(26)00170-5/full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A040-8C76-4B58-B4AC-F3F17F03CB1D}">
  <dimension ref="A1:KM204"/>
  <sheetViews>
    <sheetView tabSelected="1" zoomScale="70" zoomScaleNormal="70" workbookViewId="0">
      <pane xSplit="2" ySplit="1" topLeftCell="KB194" activePane="bottomRight" state="frozen"/>
      <selection pane="topRight" activeCell="C1" sqref="C1"/>
      <selection pane="bottomLeft" activeCell="A2" sqref="A2"/>
      <selection pane="bottomRight" activeCell="Z196" sqref="Z196:KK204"/>
    </sheetView>
  </sheetViews>
  <sheetFormatPr defaultColWidth="19.140625" defaultRowHeight="60" customHeight="1" x14ac:dyDescent="0.25"/>
  <cols>
    <col min="1" max="5" width="19.140625" style="5"/>
    <col min="6" max="6" width="45.28515625" style="5" customWidth="1"/>
    <col min="7" max="9" width="19.140625" style="5"/>
    <col min="10" max="10" width="35.5703125" style="5" customWidth="1"/>
    <col min="11" max="11" width="34.140625" style="5" customWidth="1"/>
    <col min="12" max="12" width="14.28515625" style="5" customWidth="1"/>
  </cols>
  <sheetData>
    <row r="1" spans="1:299" ht="60" customHeight="1" x14ac:dyDescent="0.25">
      <c r="A1" s="7" t="s">
        <v>0</v>
      </c>
      <c r="B1" s="7" t="s">
        <v>1</v>
      </c>
      <c r="C1" s="7" t="s">
        <v>2</v>
      </c>
      <c r="D1" s="7" t="s">
        <v>3</v>
      </c>
      <c r="E1" s="7" t="s">
        <v>4</v>
      </c>
      <c r="F1" s="7" t="s">
        <v>5</v>
      </c>
      <c r="G1" s="7" t="s">
        <v>6</v>
      </c>
      <c r="H1" s="7" t="s">
        <v>7</v>
      </c>
      <c r="I1" s="7" t="s">
        <v>8</v>
      </c>
      <c r="J1" s="7" t="s">
        <v>9</v>
      </c>
      <c r="K1" s="7" t="s">
        <v>10</v>
      </c>
      <c r="L1" s="7" t="s">
        <v>11</v>
      </c>
      <c r="N1" s="6" t="s">
        <v>12</v>
      </c>
      <c r="O1" s="2" t="s">
        <v>13</v>
      </c>
      <c r="P1" s="2" t="s">
        <v>0</v>
      </c>
      <c r="Q1" s="2" t="s">
        <v>1</v>
      </c>
      <c r="R1" s="2" t="s">
        <v>14</v>
      </c>
      <c r="S1" s="2" t="s">
        <v>15</v>
      </c>
      <c r="T1" s="2" t="s">
        <v>16</v>
      </c>
      <c r="U1" s="2" t="s">
        <v>17</v>
      </c>
      <c r="V1" s="2" t="s">
        <v>18</v>
      </c>
      <c r="W1" s="2" t="s">
        <v>19</v>
      </c>
      <c r="X1" s="2" t="s">
        <v>15</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34</v>
      </c>
      <c r="AQ1" s="2" t="s">
        <v>35</v>
      </c>
      <c r="AR1" s="2" t="s">
        <v>37</v>
      </c>
      <c r="AS1" s="2" t="s">
        <v>38</v>
      </c>
      <c r="AT1" s="2" t="s">
        <v>39</v>
      </c>
      <c r="AU1" s="2" t="s">
        <v>40</v>
      </c>
      <c r="AV1" s="2" t="s">
        <v>41</v>
      </c>
      <c r="AW1" s="2" t="s">
        <v>42</v>
      </c>
      <c r="AX1" s="2" t="s">
        <v>43</v>
      </c>
      <c r="AY1" s="2" t="s">
        <v>44</v>
      </c>
      <c r="AZ1" s="2" t="s">
        <v>45</v>
      </c>
      <c r="BA1" s="2" t="s">
        <v>46</v>
      </c>
      <c r="BB1" s="2" t="s">
        <v>47</v>
      </c>
      <c r="BC1" s="2" t="s">
        <v>48</v>
      </c>
      <c r="BD1" s="2" t="s">
        <v>49</v>
      </c>
      <c r="BE1" s="2" t="s">
        <v>50</v>
      </c>
      <c r="BF1" s="2" t="s">
        <v>51</v>
      </c>
      <c r="BG1" s="2" t="s">
        <v>52</v>
      </c>
      <c r="BH1" s="2" t="s">
        <v>53</v>
      </c>
      <c r="BI1" s="2" t="s">
        <v>54</v>
      </c>
      <c r="BJ1" s="2" t="s">
        <v>55</v>
      </c>
      <c r="BK1" s="2" t="s">
        <v>56</v>
      </c>
      <c r="BL1" s="2" t="s">
        <v>57</v>
      </c>
      <c r="BM1" s="2" t="s">
        <v>58</v>
      </c>
      <c r="BN1" s="2" t="s">
        <v>59</v>
      </c>
      <c r="BO1" s="2" t="s">
        <v>60</v>
      </c>
      <c r="BP1" s="2" t="s">
        <v>61</v>
      </c>
      <c r="BQ1" s="2" t="s">
        <v>62</v>
      </c>
      <c r="BR1" s="2" t="s">
        <v>63</v>
      </c>
      <c r="BS1" s="2" t="s">
        <v>64</v>
      </c>
      <c r="BT1" s="2" t="s">
        <v>65</v>
      </c>
      <c r="BU1" s="2" t="s">
        <v>66</v>
      </c>
      <c r="BV1" s="2" t="s">
        <v>67</v>
      </c>
      <c r="BW1" s="2" t="s">
        <v>68</v>
      </c>
      <c r="BX1" s="2" t="s">
        <v>69</v>
      </c>
      <c r="BY1" s="2" t="s">
        <v>70</v>
      </c>
      <c r="BZ1" s="2" t="s">
        <v>71</v>
      </c>
      <c r="CA1" s="2" t="s">
        <v>72</v>
      </c>
      <c r="CB1" s="2" t="s">
        <v>73</v>
      </c>
      <c r="CC1" s="2" t="s">
        <v>74</v>
      </c>
      <c r="CD1" s="2" t="s">
        <v>75</v>
      </c>
      <c r="CE1" s="2" t="s">
        <v>76</v>
      </c>
      <c r="CF1" s="2" t="s">
        <v>77</v>
      </c>
      <c r="CG1" s="2" t="s">
        <v>78</v>
      </c>
      <c r="CH1" s="2" t="s">
        <v>79</v>
      </c>
      <c r="CI1" s="2" t="s">
        <v>80</v>
      </c>
      <c r="CJ1" s="2" t="s">
        <v>81</v>
      </c>
      <c r="CK1" s="2" t="s">
        <v>82</v>
      </c>
      <c r="CL1" s="2" t="s">
        <v>83</v>
      </c>
      <c r="CM1" s="2" t="s">
        <v>84</v>
      </c>
      <c r="CN1" s="2" t="s">
        <v>85</v>
      </c>
      <c r="CO1" s="2" t="s">
        <v>86</v>
      </c>
      <c r="CP1" s="2" t="s">
        <v>87</v>
      </c>
      <c r="CQ1" s="2" t="s">
        <v>88</v>
      </c>
      <c r="CR1" s="2" t="s">
        <v>89</v>
      </c>
      <c r="CS1" s="2" t="s">
        <v>90</v>
      </c>
      <c r="CT1" s="2" t="s">
        <v>91</v>
      </c>
      <c r="CU1" s="2" t="s">
        <v>92</v>
      </c>
      <c r="CV1" s="2" t="s">
        <v>93</v>
      </c>
      <c r="CW1" s="2" t="s">
        <v>94</v>
      </c>
      <c r="CX1" s="2" t="s">
        <v>95</v>
      </c>
      <c r="CY1" s="2" t="s">
        <v>96</v>
      </c>
      <c r="CZ1" s="2" t="s">
        <v>73</v>
      </c>
      <c r="DA1" s="2" t="s">
        <v>74</v>
      </c>
      <c r="DB1" s="2" t="s">
        <v>97</v>
      </c>
      <c r="DC1" s="2" t="s">
        <v>98</v>
      </c>
      <c r="DD1" s="2" t="s">
        <v>99</v>
      </c>
      <c r="DE1" s="2" t="s">
        <v>100</v>
      </c>
      <c r="DF1" s="2" t="s">
        <v>101</v>
      </c>
      <c r="DG1" s="2" t="s">
        <v>102</v>
      </c>
      <c r="DH1" s="2" t="s">
        <v>103</v>
      </c>
      <c r="DI1" s="2" t="s">
        <v>104</v>
      </c>
      <c r="DJ1" s="2" t="s">
        <v>105</v>
      </c>
      <c r="DK1" s="2" t="s">
        <v>106</v>
      </c>
      <c r="DL1" s="2" t="s">
        <v>107</v>
      </c>
      <c r="DM1" s="2" t="s">
        <v>108</v>
      </c>
      <c r="DN1" s="2" t="s">
        <v>109</v>
      </c>
      <c r="DO1" s="2" t="s">
        <v>110</v>
      </c>
      <c r="DP1" s="2" t="s">
        <v>111</v>
      </c>
      <c r="DQ1" s="2" t="s">
        <v>112</v>
      </c>
      <c r="DR1" s="2" t="s">
        <v>113</v>
      </c>
      <c r="DS1" s="2" t="s">
        <v>114</v>
      </c>
      <c r="DT1" s="2" t="s">
        <v>115</v>
      </c>
      <c r="DU1" s="2" t="s">
        <v>116</v>
      </c>
      <c r="DV1" s="2" t="s">
        <v>73</v>
      </c>
      <c r="DW1" s="2" t="s">
        <v>74</v>
      </c>
      <c r="DX1" s="2" t="s">
        <v>117</v>
      </c>
      <c r="DY1" s="2" t="s">
        <v>118</v>
      </c>
      <c r="DZ1" s="2" t="s">
        <v>119</v>
      </c>
      <c r="EA1" s="2" t="s">
        <v>120</v>
      </c>
      <c r="EB1" s="2" t="s">
        <v>121</v>
      </c>
      <c r="EC1" s="2" t="s">
        <v>122</v>
      </c>
      <c r="ED1" s="2" t="s">
        <v>123</v>
      </c>
      <c r="EE1" s="2" t="s">
        <v>124</v>
      </c>
      <c r="EF1" s="2" t="s">
        <v>125</v>
      </c>
      <c r="EG1" s="2" t="s">
        <v>126</v>
      </c>
      <c r="EH1" s="2" t="s">
        <v>127</v>
      </c>
      <c r="EI1" s="2" t="s">
        <v>128</v>
      </c>
      <c r="EJ1" s="2" t="s">
        <v>129</v>
      </c>
      <c r="EK1" s="2" t="s">
        <v>130</v>
      </c>
      <c r="EL1" s="2" t="s">
        <v>131</v>
      </c>
      <c r="EM1" s="2" t="s">
        <v>132</v>
      </c>
      <c r="EN1" s="2" t="s">
        <v>133</v>
      </c>
      <c r="EO1" s="2" t="s">
        <v>134</v>
      </c>
      <c r="EP1" s="2" t="s">
        <v>135</v>
      </c>
      <c r="EQ1" s="2" t="s">
        <v>136</v>
      </c>
      <c r="ER1" s="2" t="s">
        <v>137</v>
      </c>
      <c r="ES1" s="2" t="s">
        <v>138</v>
      </c>
      <c r="ET1" s="2" t="s">
        <v>139</v>
      </c>
      <c r="EU1" s="2" t="s">
        <v>140</v>
      </c>
      <c r="EV1" s="2" t="s">
        <v>73</v>
      </c>
      <c r="EW1" s="2" t="s">
        <v>74</v>
      </c>
      <c r="EX1" s="2" t="s">
        <v>141</v>
      </c>
      <c r="EY1" s="2" t="s">
        <v>142</v>
      </c>
      <c r="EZ1" s="2" t="s">
        <v>143</v>
      </c>
      <c r="FA1" s="2" t="s">
        <v>144</v>
      </c>
      <c r="FB1" s="2" t="s">
        <v>145</v>
      </c>
      <c r="FC1" s="2" t="s">
        <v>146</v>
      </c>
      <c r="FD1" s="2" t="s">
        <v>147</v>
      </c>
      <c r="FE1" s="2" t="s">
        <v>148</v>
      </c>
      <c r="FF1" s="2" t="s">
        <v>149</v>
      </c>
      <c r="FG1" s="2" t="s">
        <v>150</v>
      </c>
      <c r="FH1" s="2" t="s">
        <v>151</v>
      </c>
      <c r="FI1" s="2" t="s">
        <v>152</v>
      </c>
      <c r="FJ1" s="2" t="s">
        <v>153</v>
      </c>
      <c r="FK1" s="2" t="s">
        <v>154</v>
      </c>
      <c r="FL1" s="2" t="s">
        <v>155</v>
      </c>
      <c r="FM1" s="2" t="s">
        <v>156</v>
      </c>
      <c r="FN1" s="2" t="s">
        <v>157</v>
      </c>
      <c r="FO1" s="2" t="s">
        <v>158</v>
      </c>
      <c r="FP1" s="2" t="s">
        <v>159</v>
      </c>
      <c r="FQ1" s="2" t="s">
        <v>160</v>
      </c>
      <c r="FR1" s="2" t="s">
        <v>73</v>
      </c>
      <c r="FS1" s="2" t="s">
        <v>74</v>
      </c>
      <c r="FT1" s="2" t="s">
        <v>161</v>
      </c>
      <c r="FU1" s="2" t="s">
        <v>162</v>
      </c>
      <c r="FV1" s="2" t="s">
        <v>163</v>
      </c>
      <c r="FW1" s="2" t="s">
        <v>164</v>
      </c>
      <c r="FX1" s="2" t="s">
        <v>165</v>
      </c>
      <c r="FY1" s="2" t="s">
        <v>166</v>
      </c>
      <c r="FZ1" s="2" t="s">
        <v>167</v>
      </c>
      <c r="GA1" s="2" t="s">
        <v>168</v>
      </c>
      <c r="GB1" s="2" t="s">
        <v>169</v>
      </c>
      <c r="GC1" s="2" t="s">
        <v>170</v>
      </c>
      <c r="GD1" s="2" t="s">
        <v>171</v>
      </c>
      <c r="GE1" s="2" t="s">
        <v>172</v>
      </c>
      <c r="GF1" s="2" t="s">
        <v>73</v>
      </c>
      <c r="GG1" s="2" t="s">
        <v>74</v>
      </c>
      <c r="GH1" s="2" t="s">
        <v>173</v>
      </c>
      <c r="GI1" s="2" t="s">
        <v>174</v>
      </c>
      <c r="GJ1" s="2" t="s">
        <v>175</v>
      </c>
      <c r="GK1" s="2" t="s">
        <v>176</v>
      </c>
      <c r="GL1" s="2" t="s">
        <v>177</v>
      </c>
      <c r="GM1" s="2" t="s">
        <v>178</v>
      </c>
      <c r="GN1" s="2" t="s">
        <v>179</v>
      </c>
      <c r="GO1" s="2" t="s">
        <v>180</v>
      </c>
      <c r="GP1" s="2" t="s">
        <v>73</v>
      </c>
      <c r="GQ1" s="2" t="s">
        <v>74</v>
      </c>
      <c r="GR1" s="2" t="s">
        <v>181</v>
      </c>
      <c r="GS1" s="2" t="s">
        <v>182</v>
      </c>
      <c r="GT1" s="2" t="s">
        <v>183</v>
      </c>
      <c r="GU1" s="2" t="s">
        <v>184</v>
      </c>
      <c r="GV1" s="2" t="s">
        <v>185</v>
      </c>
      <c r="GW1" s="2" t="s">
        <v>186</v>
      </c>
      <c r="GX1" s="2" t="s">
        <v>187</v>
      </c>
      <c r="GY1" s="2" t="s">
        <v>188</v>
      </c>
      <c r="GZ1" s="2" t="s">
        <v>189</v>
      </c>
      <c r="HA1" s="2" t="s">
        <v>190</v>
      </c>
      <c r="HB1" s="2" t="s">
        <v>191</v>
      </c>
      <c r="HC1" s="2" t="s">
        <v>192</v>
      </c>
      <c r="HD1" s="2" t="s">
        <v>193</v>
      </c>
      <c r="HE1" s="2" t="s">
        <v>194</v>
      </c>
      <c r="HF1" s="2" t="s">
        <v>195</v>
      </c>
      <c r="HG1" s="2" t="s">
        <v>196</v>
      </c>
      <c r="HH1" s="2" t="s">
        <v>197</v>
      </c>
      <c r="HI1" s="2" t="s">
        <v>198</v>
      </c>
      <c r="HJ1" s="2" t="s">
        <v>199</v>
      </c>
      <c r="HK1" s="2" t="s">
        <v>200</v>
      </c>
      <c r="HL1" s="2" t="s">
        <v>201</v>
      </c>
      <c r="HM1" s="2" t="s">
        <v>202</v>
      </c>
      <c r="HN1" s="2" t="s">
        <v>203</v>
      </c>
      <c r="HO1" s="2" t="s">
        <v>204</v>
      </c>
      <c r="HP1" s="2" t="s">
        <v>205</v>
      </c>
      <c r="HQ1" s="2" t="s">
        <v>206</v>
      </c>
      <c r="HR1" s="2" t="s">
        <v>73</v>
      </c>
      <c r="HS1" s="2" t="s">
        <v>74</v>
      </c>
      <c r="HT1" s="2" t="s">
        <v>207</v>
      </c>
      <c r="HU1" s="2" t="s">
        <v>208</v>
      </c>
      <c r="HV1" s="2" t="s">
        <v>209</v>
      </c>
      <c r="HW1" s="2" t="s">
        <v>210</v>
      </c>
      <c r="HX1" s="2" t="s">
        <v>211</v>
      </c>
      <c r="HY1" s="2" t="s">
        <v>212</v>
      </c>
      <c r="HZ1" s="2" t="s">
        <v>213</v>
      </c>
      <c r="IA1" s="2" t="s">
        <v>214</v>
      </c>
      <c r="IB1" s="2" t="s">
        <v>73</v>
      </c>
      <c r="IC1" s="2" t="s">
        <v>74</v>
      </c>
      <c r="ID1" s="2" t="s">
        <v>215</v>
      </c>
      <c r="IE1" s="2" t="s">
        <v>216</v>
      </c>
      <c r="IF1" s="2" t="s">
        <v>217</v>
      </c>
      <c r="IG1" s="2" t="s">
        <v>218</v>
      </c>
      <c r="IH1" s="2" t="s">
        <v>219</v>
      </c>
      <c r="II1" s="2" t="s">
        <v>220</v>
      </c>
      <c r="IJ1" s="2" t="s">
        <v>73</v>
      </c>
      <c r="IK1" s="2" t="s">
        <v>74</v>
      </c>
      <c r="IL1" s="2" t="s">
        <v>221</v>
      </c>
      <c r="IM1" s="2" t="s">
        <v>222</v>
      </c>
      <c r="IN1" s="2" t="s">
        <v>223</v>
      </c>
      <c r="IO1" s="2" t="s">
        <v>224</v>
      </c>
      <c r="IP1" s="2" t="s">
        <v>225</v>
      </c>
      <c r="IQ1" s="2" t="s">
        <v>226</v>
      </c>
      <c r="IR1" s="2" t="s">
        <v>227</v>
      </c>
      <c r="IS1" s="2" t="s">
        <v>228</v>
      </c>
      <c r="IT1" s="2" t="s">
        <v>73</v>
      </c>
      <c r="IU1" s="2" t="s">
        <v>74</v>
      </c>
      <c r="IV1" s="2" t="s">
        <v>229</v>
      </c>
      <c r="IW1" s="2" t="s">
        <v>230</v>
      </c>
      <c r="IX1" s="2" t="s">
        <v>73</v>
      </c>
      <c r="IY1" s="2" t="s">
        <v>74</v>
      </c>
      <c r="IZ1" s="2" t="s">
        <v>231</v>
      </c>
      <c r="JA1" s="2" t="s">
        <v>232</v>
      </c>
      <c r="JB1" s="2" t="s">
        <v>73</v>
      </c>
      <c r="JC1" s="2" t="s">
        <v>74</v>
      </c>
      <c r="JD1" s="2" t="s">
        <v>233</v>
      </c>
      <c r="JE1" s="2" t="s">
        <v>234</v>
      </c>
      <c r="JF1" s="2" t="s">
        <v>73</v>
      </c>
      <c r="JG1" s="2" t="s">
        <v>74</v>
      </c>
      <c r="JH1" s="2" t="s">
        <v>235</v>
      </c>
      <c r="JI1" s="2" t="s">
        <v>236</v>
      </c>
      <c r="JJ1" s="2" t="s">
        <v>237</v>
      </c>
      <c r="JK1" s="2" t="s">
        <v>238</v>
      </c>
      <c r="JL1" s="2" t="s">
        <v>239</v>
      </c>
      <c r="JM1" s="2" t="s">
        <v>240</v>
      </c>
      <c r="JN1" s="2" t="s">
        <v>241</v>
      </c>
      <c r="JO1" s="2" t="s">
        <v>242</v>
      </c>
      <c r="JP1" s="2" t="s">
        <v>243</v>
      </c>
      <c r="JQ1" s="2" t="s">
        <v>244</v>
      </c>
      <c r="JR1" s="2" t="s">
        <v>245</v>
      </c>
      <c r="JS1" s="2" t="s">
        <v>246</v>
      </c>
      <c r="JT1" s="2" t="s">
        <v>247</v>
      </c>
      <c r="JU1" s="2" t="s">
        <v>248</v>
      </c>
      <c r="JV1" s="2" t="s">
        <v>249</v>
      </c>
      <c r="JW1" s="2" t="s">
        <v>250</v>
      </c>
      <c r="JX1" s="2" t="s">
        <v>251</v>
      </c>
      <c r="JY1" s="2" t="s">
        <v>252</v>
      </c>
      <c r="JZ1" s="2" t="s">
        <v>253</v>
      </c>
      <c r="KA1" s="2" t="s">
        <v>254</v>
      </c>
      <c r="KB1" s="2" t="s">
        <v>255</v>
      </c>
      <c r="KC1" s="2" t="s">
        <v>256</v>
      </c>
      <c r="KD1" s="2" t="s">
        <v>257</v>
      </c>
      <c r="KE1" s="2" t="s">
        <v>258</v>
      </c>
      <c r="KF1" s="2" t="s">
        <v>73</v>
      </c>
      <c r="KG1" s="2" t="s">
        <v>74</v>
      </c>
      <c r="KH1" s="2" t="s">
        <v>259</v>
      </c>
      <c r="KI1" s="2" t="s">
        <v>260</v>
      </c>
      <c r="KJ1" s="2" t="s">
        <v>10</v>
      </c>
      <c r="KK1" s="2" t="s">
        <v>261</v>
      </c>
      <c r="KL1" s="1"/>
      <c r="KM1" s="1"/>
    </row>
    <row r="2" spans="1:299" ht="60" customHeight="1" x14ac:dyDescent="0.25">
      <c r="A2" s="5" t="str">
        <f>P2</f>
        <v>LeeY-Z, et al, (2025), Nature Communications</v>
      </c>
      <c r="B2" s="3" t="str">
        <f>HYPERLINK(N2, Q2)</f>
        <v>Rational design of next-generation filovirus vaccines combining glycoprotein stabilization and nanoparticle display with glycan modification</v>
      </c>
      <c r="C2" s="4" t="str">
        <f>_xlfn.TEXTJOIN(", ", TRUE, AK2,CD2:CX2,AI2, AG2)</f>
        <v>Primary - article, Experimental, Peer-reviewed publication</v>
      </c>
      <c r="D2" s="4" t="str">
        <f>_xlfn.TEXTJOIN(", ", TRUE, Z2, AB2)</f>
        <v>Bundibugyo</v>
      </c>
      <c r="E2" s="4" t="str">
        <f t="shared" ref="E2" si="0">AD2</f>
        <v>No</v>
      </c>
      <c r="F2" s="4" t="str">
        <f>_xlfn.TEXTJOIN("", TRUE, AM2,AP2)</f>
        <v>The study demonstrates that self-assembling protein nanoparticles (SApNPs) displaying stabilized filovirus glycoproteins (GPs) from multiple filoviruses, including Bundibugyo virus, significantly enhance immune responses in mice, supporting their potential for broad next-generation filovirus vaccines.</v>
      </c>
      <c r="G2" s="4" t="str">
        <f>_xlfn.TEXTJOIN("; ", TRUE, DX2:EU2,EX2:FQ2, FT2:GE2, GH2:GO2, GR2:HP2, HT2:HZ2, ID2:IH2, IL2:IR2, IV2, IZ2, JD2, JH2:KD2)</f>
        <v>Vaccine development</v>
      </c>
      <c r="H2" s="4" t="str">
        <f>_xlfn.TEXTJOIN(", ", TRUE,AR2:BZ2)</f>
        <v>Animal - model of disease</v>
      </c>
      <c r="I2" s="4" t="str">
        <f>_xlfn.TEXTJOIN(", ", TRUE,DB2:DU2)</f>
        <v/>
      </c>
      <c r="J2" s="5" t="str">
        <f>_xlfn.TEXTJOIN(", ", TRUE, KH2)</f>
        <v>VACCINE DEVELOPMENT:
This study successfully designed and tested next-generation filovirus vaccines by stabilizing glycoproteins, optimizing nanoparticle delivery, and modifying glycans to enhance immune responses. Key outcomes included stronger antibody production, prolonged lymph node retention, and cross-reactivity against multiple filoviruses, paving the way for broadly effective vaccine development. 
For EBOV, SUDV, and BDBV, comparative analysis of GPΔmuc-WL2P2 and -WL2P4 constructs revealed that the P4 mutation conferred a more favorable thermostability profile, while trimer yield, purity, and antigenicity remained comparable between P2 and P4.</v>
      </c>
      <c r="K2" s="5" t="str">
        <f>_xlfn.TEXTJOIN(", ", TRUE, KJ2)</f>
        <v>This study combined structural biology, protein engineering, and immunology to design filovirus vaccines by stabilizing glycoproteins, optimizing nanoparticle display, and modifying glycans. Techniques included crystal structure analysis, nanoparticle scaffolding, glycan enrichment/trimming, and in vitro/in vivo testing to assess stability, immunogenicity, and antibody responses. 
Here, we sought to obtain atomic details for the more stable EBOV GPΔmuc-WL2P4.</v>
      </c>
      <c r="N2" s="2" t="str">
        <f>IF(ISBLANK(R2),X2,_xlfn.CONCAT($N$1,R2))</f>
        <v>https://doi.org/10.1038/s41467-025-66367-7</v>
      </c>
      <c r="O2" s="2">
        <v>2</v>
      </c>
      <c r="P2" s="2" t="s">
        <v>262</v>
      </c>
      <c r="Q2" s="2" t="s">
        <v>263</v>
      </c>
      <c r="R2" s="2" t="s">
        <v>264</v>
      </c>
      <c r="S2" s="2" t="s">
        <v>265</v>
      </c>
      <c r="T2" s="2" t="s">
        <v>266</v>
      </c>
      <c r="U2" s="2"/>
      <c r="V2" s="2" t="s">
        <v>267</v>
      </c>
      <c r="W2" s="2"/>
      <c r="X2" s="2" t="s">
        <v>268</v>
      </c>
      <c r="Y2" s="2"/>
      <c r="Z2" s="2" t="s">
        <v>21</v>
      </c>
      <c r="AA2" s="2"/>
      <c r="AB2" s="2"/>
      <c r="AC2" s="2"/>
      <c r="AD2" s="2" t="s">
        <v>269</v>
      </c>
      <c r="AE2" s="2"/>
      <c r="AF2" s="2" t="s">
        <v>270</v>
      </c>
      <c r="AG2" s="2"/>
      <c r="AH2" s="2"/>
      <c r="AI2" s="2" t="s">
        <v>271</v>
      </c>
      <c r="AJ2" s="2"/>
      <c r="AK2" s="2" t="s">
        <v>272</v>
      </c>
      <c r="AL2" s="2"/>
      <c r="AM2" s="2"/>
      <c r="AN2" s="2"/>
      <c r="AO2" s="2"/>
      <c r="AP2" s="2" t="s">
        <v>273</v>
      </c>
      <c r="AQ2" s="2"/>
      <c r="AR2" s="2"/>
      <c r="AS2" s="2"/>
      <c r="AT2" s="2"/>
      <c r="AU2" s="2"/>
      <c r="AV2" s="2"/>
      <c r="AW2" s="2"/>
      <c r="AX2" s="2"/>
      <c r="AY2" s="2"/>
      <c r="AZ2" s="2"/>
      <c r="BA2" s="2"/>
      <c r="BB2" s="2"/>
      <c r="BC2" s="2"/>
      <c r="BD2" s="2"/>
      <c r="BE2" s="2"/>
      <c r="BF2" s="2"/>
      <c r="BG2" s="2"/>
      <c r="BH2" s="2"/>
      <c r="BI2" s="2"/>
      <c r="BJ2" s="2"/>
      <c r="BK2" s="2"/>
      <c r="BL2" s="2"/>
      <c r="BM2" s="2"/>
      <c r="BN2" s="2" t="s">
        <v>59</v>
      </c>
      <c r="BO2" s="2"/>
      <c r="BP2" s="2"/>
      <c r="BQ2" s="2"/>
      <c r="BR2" s="2"/>
      <c r="BS2" s="2"/>
      <c r="BT2" s="2"/>
      <c r="BU2" s="2"/>
      <c r="BV2" s="2"/>
      <c r="BW2" s="2"/>
      <c r="BX2" s="2"/>
      <c r="BY2" s="2"/>
      <c r="BZ2" s="2"/>
      <c r="CA2" s="2"/>
      <c r="CB2" s="2"/>
      <c r="CC2" s="2"/>
      <c r="CD2" s="2"/>
      <c r="CE2" s="2"/>
      <c r="CF2" s="2"/>
      <c r="CG2" s="2"/>
      <c r="CH2" s="2" t="s">
        <v>79</v>
      </c>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t="s">
        <v>73</v>
      </c>
      <c r="DW2" s="2"/>
      <c r="DX2" s="2"/>
      <c r="DY2" s="2"/>
      <c r="DZ2" s="2"/>
      <c r="EA2" s="2"/>
      <c r="EB2" s="2"/>
      <c r="EC2" s="2"/>
      <c r="ED2" s="2"/>
      <c r="EE2" s="2"/>
      <c r="EF2" s="2"/>
      <c r="EG2" s="2"/>
      <c r="EH2" s="2"/>
      <c r="EI2" s="2"/>
      <c r="EJ2" s="2"/>
      <c r="EK2" s="2"/>
      <c r="EL2" s="2"/>
      <c r="EM2" s="2"/>
      <c r="EN2" s="2"/>
      <c r="EO2" s="2"/>
      <c r="EP2" s="2"/>
      <c r="EQ2" s="2"/>
      <c r="ER2" s="2"/>
      <c r="ES2" s="2"/>
      <c r="ET2" s="2"/>
      <c r="EU2" s="2"/>
      <c r="EV2" s="2" t="s">
        <v>73</v>
      </c>
      <c r="EW2" s="2"/>
      <c r="EX2" s="2"/>
      <c r="EY2" s="2"/>
      <c r="EZ2" s="2"/>
      <c r="FA2" s="2"/>
      <c r="FB2" s="2"/>
      <c r="FC2" s="2"/>
      <c r="FD2" s="2"/>
      <c r="FE2" s="2"/>
      <c r="FF2" s="2"/>
      <c r="FG2" s="2"/>
      <c r="FH2" s="2"/>
      <c r="FI2" s="2"/>
      <c r="FJ2" s="2"/>
      <c r="FK2" s="2"/>
      <c r="FL2" s="2"/>
      <c r="FM2" s="2"/>
      <c r="FN2" s="2"/>
      <c r="FO2" s="2"/>
      <c r="FP2" s="2"/>
      <c r="FQ2" s="2"/>
      <c r="FR2" s="2" t="s">
        <v>73</v>
      </c>
      <c r="FS2" s="2"/>
      <c r="FT2" s="2"/>
      <c r="FU2" s="2"/>
      <c r="FV2" s="2"/>
      <c r="FW2" s="2"/>
      <c r="FX2" s="2"/>
      <c r="FY2" s="2"/>
      <c r="FZ2" s="2"/>
      <c r="GA2" s="2"/>
      <c r="GB2" s="2"/>
      <c r="GC2" s="2"/>
      <c r="GD2" s="2"/>
      <c r="GE2" s="2"/>
      <c r="GF2" s="2" t="s">
        <v>73</v>
      </c>
      <c r="GG2" s="2"/>
      <c r="GH2" s="2"/>
      <c r="GI2" s="2"/>
      <c r="GJ2" s="2"/>
      <c r="GK2" s="2"/>
      <c r="GL2" s="2"/>
      <c r="GM2" s="2"/>
      <c r="GN2" s="2" t="s">
        <v>179</v>
      </c>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t="s">
        <v>73</v>
      </c>
      <c r="HS2" s="2"/>
      <c r="HT2" s="2"/>
      <c r="HU2" s="2"/>
      <c r="HV2" s="2"/>
      <c r="HW2" s="2"/>
      <c r="HX2" s="2"/>
      <c r="HY2" s="2"/>
      <c r="HZ2" s="2"/>
      <c r="IA2" s="2"/>
      <c r="IB2" s="2" t="s">
        <v>73</v>
      </c>
      <c r="IC2" s="2"/>
      <c r="ID2" s="2"/>
      <c r="IE2" s="2"/>
      <c r="IF2" s="2"/>
      <c r="IG2" s="2"/>
      <c r="IH2" s="2"/>
      <c r="II2" s="2"/>
      <c r="IJ2" s="2" t="s">
        <v>73</v>
      </c>
      <c r="IK2" s="2"/>
      <c r="IL2" s="2"/>
      <c r="IM2" s="2"/>
      <c r="IN2" s="2"/>
      <c r="IO2" s="2"/>
      <c r="IP2" s="2"/>
      <c r="IQ2" s="2"/>
      <c r="IR2" s="2"/>
      <c r="IS2" s="2"/>
      <c r="IT2" s="2" t="s">
        <v>73</v>
      </c>
      <c r="IU2" s="2"/>
      <c r="IV2" s="2"/>
      <c r="IW2" s="2"/>
      <c r="IX2" s="2" t="s">
        <v>73</v>
      </c>
      <c r="IY2" s="2"/>
      <c r="IZ2" s="2"/>
      <c r="JA2" s="2"/>
      <c r="JB2" s="2" t="s">
        <v>73</v>
      </c>
      <c r="JC2" s="2"/>
      <c r="JD2" s="2"/>
      <c r="JE2" s="2"/>
      <c r="JF2" s="2" t="s">
        <v>73</v>
      </c>
      <c r="JG2" s="2"/>
      <c r="JH2" s="2"/>
      <c r="JI2" s="2"/>
      <c r="JJ2" s="2"/>
      <c r="JK2" s="2"/>
      <c r="JL2" s="2"/>
      <c r="JM2" s="2"/>
      <c r="JN2" s="2"/>
      <c r="JO2" s="2"/>
      <c r="JP2" s="2"/>
      <c r="JQ2" s="2"/>
      <c r="JR2" s="2"/>
      <c r="JS2" s="2"/>
      <c r="JT2" s="2"/>
      <c r="JU2" s="2"/>
      <c r="JV2" s="2"/>
      <c r="JW2" s="2"/>
      <c r="JX2" s="2"/>
      <c r="JY2" s="2"/>
      <c r="JZ2" s="2"/>
      <c r="KA2" s="2"/>
      <c r="KB2" s="2"/>
      <c r="KC2" s="2"/>
      <c r="KD2" s="2"/>
      <c r="KE2" s="2"/>
      <c r="KF2" s="2" t="s">
        <v>73</v>
      </c>
      <c r="KG2" s="2"/>
      <c r="KH2" s="2" t="s">
        <v>274</v>
      </c>
      <c r="KI2" s="2"/>
      <c r="KJ2" s="2" t="s">
        <v>275</v>
      </c>
      <c r="KK2" s="2"/>
      <c r="KL2" s="1"/>
      <c r="KM2" s="1"/>
    </row>
    <row r="3" spans="1:299" ht="60" customHeight="1" x14ac:dyDescent="0.25">
      <c r="A3" s="5" t="str">
        <f t="shared" ref="A3:A66" si="1">P3</f>
        <v xml:space="preserve">Zhang, et al, (2026) </v>
      </c>
      <c r="B3" s="3" t="str">
        <f t="shared" ref="B3:B66" si="2">HYPERLINK(N3, Q3)</f>
        <v>Multivalent mRNA vaccine platform with compatible antigens conferred broad-spectrum protection against orthoebolaviruses' exposure</v>
      </c>
      <c r="C3" s="4" t="str">
        <f t="shared" ref="C3:C66" si="3">_xlfn.TEXTJOIN(", ", TRUE, AK3,CD3:CX3,AI3, AG3)</f>
        <v>Primary - article, Experimental, Peer-reviewed publication</v>
      </c>
      <c r="D3" s="4" t="str">
        <f t="shared" ref="D3:D66" si="4">_xlfn.TEXTJOIN(", ", TRUE, Z3, AB3)</f>
        <v>Bundibugyo</v>
      </c>
      <c r="E3" s="4" t="str">
        <f t="shared" ref="E3:E66" si="5">AD3</f>
        <v>No</v>
      </c>
      <c r="F3" s="4" t="str">
        <f t="shared" ref="F3:F66" si="6">_xlfn.TEXTJOIN("", TRUE, AM3,AP3)</f>
        <v>In this study, a multivalent broad-spectrum mRNA vaccine ([GPs+NP]@LNP) was developed to defend against EBOV, BDBV and SUDV strains. In mouse models, the coordinated antigenic interaction of nucleoproteins and glycoproteins highlights the potential of the vaccine as a promising candidate to protect against all three major pathogenic orthoebolaviruses.</v>
      </c>
      <c r="G3" s="4" t="str">
        <f t="shared" ref="G3:G66" si="7">_xlfn.TEXTJOIN("; ", TRUE, DX3:EU3,EX3:FQ3, FT3:GE3, GH3:GO3, GR3:HP3, HT3:HZ3, ID3:IH3, IL3:IR3, IV3, IZ3, JD3, JH3:KD3)</f>
        <v>Vaccination immunity - efficacy/effectiveness; Vaccine immunity measures (Ab, titre, cytokines); Vaccine development</v>
      </c>
      <c r="H3" s="4" t="str">
        <f t="shared" ref="H3:H66" si="8">_xlfn.TEXTJOIN(", ", TRUE,AR3:BZ3)</f>
        <v>Animal - model of disease</v>
      </c>
      <c r="I3" s="4" t="str">
        <f t="shared" ref="I3:I66" si="9">_xlfn.TEXTJOIN(", ", TRUE,DB3:DU3)</f>
        <v/>
      </c>
      <c r="J3" s="5" t="str">
        <f t="shared" ref="J3:J66" si="10">_xlfn.TEXTJOIN(", ", TRUE, KH3)</f>
        <v>VACCINE IMMUNITY: [GPs+NP]@LNP demonstrated superior immunogenicity compared with a simple mixture of monovalent vaccines. [GPs+NP]@LNP conferred complete, broad-spectrum, and long-lasting protection against lethal orthoebolaviruses infection in animal models, with immunity persisting up to 1 y, suggesting strong potential for clinical application.
VACCINE DEVELOPMENT: Developed a broad-spectrum mRNA vaccine, [GPs+NP]@LNP. It delivers a mix of mRNAs encoding glycoproteins (GPs) from all three viruses plus EBOV nucleoprotein (NP), using a single LNP.</v>
      </c>
      <c r="K3" s="5" t="str">
        <f t="shared" ref="K3:K66" si="11">_xlfn.TEXTJOIN(", ", TRUE, KJ3)</f>
        <v>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v>
      </c>
      <c r="N3" s="2" t="str">
        <f t="shared" ref="N3:N66" si="12">IF(ISBLANK(R3),X3,_xlfn.CONCAT($N$1,R3))</f>
        <v>https://doi.org/10.1073/pnas.2517814123</v>
      </c>
      <c r="O3" s="20">
        <v>3</v>
      </c>
      <c r="P3" s="20" t="s">
        <v>1356</v>
      </c>
      <c r="Q3" s="20" t="s">
        <v>276</v>
      </c>
      <c r="R3" s="20" t="s">
        <v>277</v>
      </c>
      <c r="S3" s="20" t="s">
        <v>278</v>
      </c>
      <c r="T3" s="20" t="s">
        <v>266</v>
      </c>
      <c r="U3" s="2"/>
      <c r="V3" s="20" t="s">
        <v>267</v>
      </c>
      <c r="W3" s="2"/>
      <c r="X3" s="20" t="s">
        <v>279</v>
      </c>
      <c r="Y3" s="2"/>
      <c r="Z3" s="20" t="s">
        <v>21</v>
      </c>
      <c r="AA3" s="2"/>
      <c r="AB3" s="2"/>
      <c r="AC3" s="2"/>
      <c r="AD3" s="20" t="s">
        <v>269</v>
      </c>
      <c r="AE3" s="2"/>
      <c r="AF3" s="20" t="s">
        <v>270</v>
      </c>
      <c r="AG3" s="2"/>
      <c r="AH3" s="2"/>
      <c r="AI3" s="20" t="s">
        <v>271</v>
      </c>
      <c r="AJ3" s="2"/>
      <c r="AK3" s="20" t="s">
        <v>272</v>
      </c>
      <c r="AL3" s="2"/>
      <c r="AM3" s="2"/>
      <c r="AN3" s="2"/>
      <c r="AO3" s="2"/>
      <c r="AP3" s="20" t="s">
        <v>280</v>
      </c>
      <c r="AQ3" s="2"/>
      <c r="AR3" s="2"/>
      <c r="AS3" s="2"/>
      <c r="AT3" s="2"/>
      <c r="AU3" s="2"/>
      <c r="AV3" s="2"/>
      <c r="AW3" s="2"/>
      <c r="AX3" s="2"/>
      <c r="AY3" s="2"/>
      <c r="AZ3" s="2"/>
      <c r="BA3" s="2"/>
      <c r="BB3" s="2"/>
      <c r="BC3" s="2"/>
      <c r="BD3" s="2"/>
      <c r="BE3" s="2"/>
      <c r="BF3" s="2"/>
      <c r="BG3" s="2"/>
      <c r="BH3" s="2"/>
      <c r="BI3" s="2"/>
      <c r="BJ3" s="2"/>
      <c r="BK3" s="2"/>
      <c r="BL3" s="2"/>
      <c r="BM3" s="2"/>
      <c r="BN3" s="20" t="s">
        <v>59</v>
      </c>
      <c r="BO3" s="2"/>
      <c r="BP3" s="2"/>
      <c r="BQ3" s="2"/>
      <c r="BR3" s="2"/>
      <c r="BS3" s="2"/>
      <c r="BT3" s="2"/>
      <c r="BU3" s="2"/>
      <c r="BV3" s="2"/>
      <c r="BW3" s="2"/>
      <c r="BX3" s="2"/>
      <c r="BY3" s="2"/>
      <c r="BZ3" s="2"/>
      <c r="CA3" s="2"/>
      <c r="CB3" s="2"/>
      <c r="CC3" s="2"/>
      <c r="CD3" s="2"/>
      <c r="CE3" s="2"/>
      <c r="CF3" s="2"/>
      <c r="CG3" s="2"/>
      <c r="CH3" s="20" t="s">
        <v>79</v>
      </c>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0" t="s">
        <v>73</v>
      </c>
      <c r="DW3" s="2"/>
      <c r="DX3" s="2"/>
      <c r="DY3" s="2"/>
      <c r="DZ3" s="2"/>
      <c r="EA3" s="2"/>
      <c r="EB3" s="2"/>
      <c r="EC3" s="2"/>
      <c r="ED3" s="2"/>
      <c r="EE3" s="2"/>
      <c r="EF3" s="2"/>
      <c r="EG3" s="2"/>
      <c r="EH3" s="2"/>
      <c r="EI3" s="2"/>
      <c r="EJ3" s="2"/>
      <c r="EK3" s="2"/>
      <c r="EL3" s="2"/>
      <c r="EM3" s="2"/>
      <c r="EN3" s="2"/>
      <c r="EO3" s="2"/>
      <c r="EP3" s="2"/>
      <c r="EQ3" s="2"/>
      <c r="ER3" s="2"/>
      <c r="ES3" s="2"/>
      <c r="ET3" s="2"/>
      <c r="EU3" s="2"/>
      <c r="EV3" s="20" t="s">
        <v>73</v>
      </c>
      <c r="EW3" s="2"/>
      <c r="EX3" s="2"/>
      <c r="EY3" s="2"/>
      <c r="EZ3" s="2"/>
      <c r="FA3" s="2"/>
      <c r="FB3" s="2"/>
      <c r="FC3" s="2"/>
      <c r="FD3" s="2"/>
      <c r="FE3" s="2"/>
      <c r="FF3" s="2"/>
      <c r="FG3" s="2"/>
      <c r="FH3" s="2"/>
      <c r="FI3" s="2"/>
      <c r="FJ3" s="2"/>
      <c r="FK3" s="2"/>
      <c r="FL3" s="2"/>
      <c r="FM3" s="2"/>
      <c r="FN3" s="2"/>
      <c r="FO3" s="2"/>
      <c r="FP3" s="2"/>
      <c r="FQ3" s="2"/>
      <c r="FR3" s="20" t="s">
        <v>73</v>
      </c>
      <c r="FS3" s="2"/>
      <c r="FT3" s="2"/>
      <c r="FU3" s="2"/>
      <c r="FV3" s="20" t="s">
        <v>163</v>
      </c>
      <c r="FW3" s="2"/>
      <c r="FX3" s="2"/>
      <c r="FY3" s="2"/>
      <c r="FZ3" s="2"/>
      <c r="GA3" s="2"/>
      <c r="GB3" s="20" t="s">
        <v>169</v>
      </c>
      <c r="GC3" s="2"/>
      <c r="GD3" s="2"/>
      <c r="GE3" s="2"/>
      <c r="GF3" s="2"/>
      <c r="GG3" s="2"/>
      <c r="GH3" s="2"/>
      <c r="GI3" s="2"/>
      <c r="GJ3" s="2"/>
      <c r="GK3" s="2"/>
      <c r="GL3" s="2"/>
      <c r="GM3" s="2"/>
      <c r="GN3" s="20" t="s">
        <v>179</v>
      </c>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0" t="s">
        <v>73</v>
      </c>
      <c r="HS3" s="2"/>
      <c r="HT3" s="2"/>
      <c r="HU3" s="2"/>
      <c r="HV3" s="2"/>
      <c r="HW3" s="2"/>
      <c r="HX3" s="2"/>
      <c r="HY3" s="2"/>
      <c r="HZ3" s="2"/>
      <c r="IA3" s="2"/>
      <c r="IB3" s="20" t="s">
        <v>73</v>
      </c>
      <c r="IC3" s="2"/>
      <c r="ID3" s="2"/>
      <c r="IE3" s="2"/>
      <c r="IF3" s="2"/>
      <c r="IG3" s="2"/>
      <c r="IH3" s="2"/>
      <c r="II3" s="2"/>
      <c r="IJ3" s="20" t="s">
        <v>73</v>
      </c>
      <c r="IK3" s="2"/>
      <c r="IL3" s="2"/>
      <c r="IM3" s="2"/>
      <c r="IN3" s="2"/>
      <c r="IO3" s="2"/>
      <c r="IP3" s="2"/>
      <c r="IQ3" s="2"/>
      <c r="IR3" s="2"/>
      <c r="IS3" s="2"/>
      <c r="IT3" s="20" t="s">
        <v>73</v>
      </c>
      <c r="IU3" s="2"/>
      <c r="IV3" s="2"/>
      <c r="IW3" s="2"/>
      <c r="IX3" s="20" t="s">
        <v>73</v>
      </c>
      <c r="IY3" s="2"/>
      <c r="IZ3" s="2"/>
      <c r="JA3" s="2"/>
      <c r="JB3" s="20" t="s">
        <v>73</v>
      </c>
      <c r="JC3" s="2"/>
      <c r="JD3" s="2"/>
      <c r="JE3" s="2"/>
      <c r="JF3" s="20" t="s">
        <v>73</v>
      </c>
      <c r="JG3" s="2"/>
      <c r="JH3" s="2"/>
      <c r="JI3" s="2"/>
      <c r="JJ3" s="2"/>
      <c r="JK3" s="2"/>
      <c r="JL3" s="2"/>
      <c r="JM3" s="2"/>
      <c r="JN3" s="2"/>
      <c r="JO3" s="2"/>
      <c r="JP3" s="2"/>
      <c r="JQ3" s="2"/>
      <c r="JR3" s="2"/>
      <c r="JS3" s="2"/>
      <c r="JT3" s="2"/>
      <c r="JU3" s="2"/>
      <c r="JV3" s="2"/>
      <c r="JW3" s="2"/>
      <c r="JX3" s="2"/>
      <c r="JY3" s="2"/>
      <c r="JZ3" s="2"/>
      <c r="KA3" s="2"/>
      <c r="KB3" s="2"/>
      <c r="KC3" s="2"/>
      <c r="KD3" s="2"/>
      <c r="KE3" s="2"/>
      <c r="KF3" s="20" t="s">
        <v>73</v>
      </c>
      <c r="KG3" s="2"/>
      <c r="KH3" s="20" t="s">
        <v>281</v>
      </c>
      <c r="KI3" s="2"/>
      <c r="KJ3" s="20" t="s">
        <v>282</v>
      </c>
      <c r="KK3" s="2"/>
      <c r="KL3" s="1"/>
      <c r="KM3" s="1"/>
    </row>
    <row r="4" spans="1:299" ht="60" customHeight="1" x14ac:dyDescent="0.25">
      <c r="A4" s="5" t="str">
        <f t="shared" si="1"/>
        <v>Kaweesa, et al, (2026), New Microbes and New Infections</v>
      </c>
      <c r="B4" s="3" t="str">
        <f t="shared" si="2"/>
        <v>Resilience and residuals beyond containment - the hidden burden of Bundibugyo Ebola virus survivorship sixteen years on: a cross-sectional observational study</v>
      </c>
      <c r="C4" s="4" t="str">
        <f t="shared" si="3"/>
        <v>Primary - article, Observational, Peer-reviewed publication</v>
      </c>
      <c r="D4" s="4" t="str">
        <f t="shared" si="4"/>
        <v>Bundibugyo</v>
      </c>
      <c r="E4" s="4" t="str">
        <f t="shared" si="5"/>
        <v>No</v>
      </c>
      <c r="F4" s="4" t="str">
        <f t="shared" si="6"/>
        <v>Bundibugyo virus disease (BVD) survivorship was marked by persistent but heterogeneous multisystemic sequelae, particularly neurological and musculoskeletal symptoms, alongside subtle immunometabolic perturbations and remarkable mental health resilience. These findings support the need for virus-specific post-BVD care and sustained follow-up to inform survivor health policy.</v>
      </c>
      <c r="G4" s="4" t="str">
        <f t="shared" si="7"/>
        <v>Long term infection characteristics; Mental health</v>
      </c>
      <c r="H4" s="4" t="str">
        <f t="shared" si="8"/>
        <v>Human - General population</v>
      </c>
      <c r="I4" s="4" t="str">
        <f t="shared" si="9"/>
        <v/>
      </c>
      <c r="J4" s="5" t="str">
        <f t="shared" si="10"/>
        <v>CLINICAL DATA - Long-term sequelae: 
Survivors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v>
      </c>
      <c r="K4" s="5" t="str">
        <f t="shared" si="11"/>
        <v>Cross-sectional observational study involving 40 laboratory-confirmed BVD survivors and 23 age- and sex-matched unexposed community controls. Participants underwent comprehensive clinical evaluations, laboratory testing, and standardised mental health assessments. Statistical comparisons used rank-sum, chi-squared, and correlation analyses.</v>
      </c>
      <c r="N4" s="2" t="str">
        <f t="shared" si="12"/>
        <v>https://doi.org/10.1016/j.nmni.2025.101685</v>
      </c>
      <c r="O4" s="20">
        <v>4</v>
      </c>
      <c r="P4" s="20" t="s">
        <v>283</v>
      </c>
      <c r="Q4" s="20" t="s">
        <v>284</v>
      </c>
      <c r="R4" s="20" t="s">
        <v>285</v>
      </c>
      <c r="S4" s="20" t="s">
        <v>286</v>
      </c>
      <c r="T4" s="20" t="s">
        <v>287</v>
      </c>
      <c r="U4" s="2"/>
      <c r="V4" s="20" t="s">
        <v>288</v>
      </c>
      <c r="W4" s="2"/>
      <c r="X4" s="20" t="s">
        <v>289</v>
      </c>
      <c r="Y4" s="2"/>
      <c r="Z4" s="20" t="s">
        <v>21</v>
      </c>
      <c r="AA4" s="2"/>
      <c r="AB4" s="2"/>
      <c r="AC4" s="2"/>
      <c r="AD4" s="20" t="s">
        <v>269</v>
      </c>
      <c r="AE4" s="2"/>
      <c r="AF4" s="20" t="s">
        <v>270</v>
      </c>
      <c r="AG4" s="2"/>
      <c r="AH4" s="2"/>
      <c r="AI4" s="20" t="s">
        <v>271</v>
      </c>
      <c r="AJ4" s="2"/>
      <c r="AK4" s="20" t="s">
        <v>272</v>
      </c>
      <c r="AL4" s="2"/>
      <c r="AM4" s="2"/>
      <c r="AN4" s="2"/>
      <c r="AO4" s="2"/>
      <c r="AP4" s="20" t="s">
        <v>290</v>
      </c>
      <c r="AQ4" s="2"/>
      <c r="AR4" s="20" t="s">
        <v>37</v>
      </c>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0" t="s">
        <v>75</v>
      </c>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0" t="s">
        <v>73</v>
      </c>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0" t="s">
        <v>145</v>
      </c>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0" t="s">
        <v>73</v>
      </c>
      <c r="GG4" s="2"/>
      <c r="GH4" s="2"/>
      <c r="GI4" s="2"/>
      <c r="GJ4" s="2"/>
      <c r="GK4" s="2"/>
      <c r="GL4" s="2"/>
      <c r="GM4" s="2"/>
      <c r="GN4" s="2"/>
      <c r="GO4" s="2"/>
      <c r="GP4" s="20" t="s">
        <v>73</v>
      </c>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0" t="s">
        <v>73</v>
      </c>
      <c r="HS4" s="2"/>
      <c r="HT4" s="2"/>
      <c r="HU4" s="2"/>
      <c r="HV4" s="2"/>
      <c r="HW4" s="2"/>
      <c r="HX4" s="2"/>
      <c r="HY4" s="2"/>
      <c r="HZ4" s="2"/>
      <c r="IA4" s="2"/>
      <c r="IB4" s="20" t="s">
        <v>73</v>
      </c>
      <c r="IC4" s="2"/>
      <c r="ID4" s="2"/>
      <c r="IE4" s="2"/>
      <c r="IF4" s="2"/>
      <c r="IG4" s="2"/>
      <c r="IH4" s="2"/>
      <c r="II4" s="2"/>
      <c r="IJ4" s="20" t="s">
        <v>73</v>
      </c>
      <c r="IK4" s="2"/>
      <c r="IL4" s="2"/>
      <c r="IM4" s="2"/>
      <c r="IN4" s="2"/>
      <c r="IO4" s="2"/>
      <c r="IP4" s="2"/>
      <c r="IQ4" s="2"/>
      <c r="IR4" s="2"/>
      <c r="IS4" s="2"/>
      <c r="IT4" s="20" t="s">
        <v>73</v>
      </c>
      <c r="IU4" s="2"/>
      <c r="IV4" s="2"/>
      <c r="IW4" s="2"/>
      <c r="IX4" s="20" t="s">
        <v>73</v>
      </c>
      <c r="IY4" s="2"/>
      <c r="IZ4" s="2"/>
      <c r="JA4" s="2"/>
      <c r="JB4" s="20" t="s">
        <v>73</v>
      </c>
      <c r="JC4" s="2"/>
      <c r="JD4" s="20" t="s">
        <v>233</v>
      </c>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0" t="s">
        <v>73</v>
      </c>
      <c r="KG4" s="2"/>
      <c r="KH4" s="20" t="s">
        <v>291</v>
      </c>
      <c r="KI4" s="2"/>
      <c r="KJ4" s="20" t="s">
        <v>292</v>
      </c>
      <c r="KK4" s="2"/>
      <c r="KL4" s="1"/>
      <c r="KM4" s="1"/>
    </row>
    <row r="5" spans="1:299" ht="60" customHeight="1" x14ac:dyDescent="0.25">
      <c r="A5" s="5" t="str">
        <f t="shared" si="1"/>
        <v>ZhangX, et al, (2026), Research</v>
      </c>
      <c r="B5" s="3" t="str">
        <f t="shared" si="2"/>
        <v>Computational Design of Broad-Spectrum Ebola Antibodies through Framework and Complementarity-Determining Region Synergistic Optimization</v>
      </c>
      <c r="C5" s="4" t="str">
        <f t="shared" si="3"/>
        <v>Primary - article, Experimental, Peer-reviewed publication</v>
      </c>
      <c r="D5" s="4" t="str">
        <f t="shared" si="4"/>
        <v>Bundibugyo</v>
      </c>
      <c r="E5" s="4" t="str">
        <f t="shared" si="5"/>
        <v>No</v>
      </c>
      <c r="F5" s="4" t="str">
        <f t="shared" si="6"/>
        <v>This study describes a computational–experimental approach for engineering antibodies with stronger and broader activity against diverse Ebola viruses. Modified versions of ADI‑15878 and ADI‑15946 showed major potency gains—including a 7‑fold improvement against BDBV and up to 100‑fold against Sudan virus—while retaining stability and cross‑virus effectiveness.</v>
      </c>
      <c r="G5" s="4" t="str">
        <f t="shared" si="7"/>
        <v>Vaccine development</v>
      </c>
      <c r="H5" s="4" t="str">
        <f t="shared" si="8"/>
        <v/>
      </c>
      <c r="I5" s="4" t="str">
        <f t="shared" si="9"/>
        <v/>
      </c>
      <c r="J5" s="5" t="str">
        <f t="shared" si="10"/>
        <v>VACCINE DEVELOPMENT:
This study presents a computational–experimental pipeline designed to improve the potency and breadth of antibodies targeting highly variable Ebola viruses, including Bundibugyo virus (BDBV).  For ADI‑15878, a variant called W32G‑LC was created through framework grafting and CDR mutagenesis. This engineered antibody showed significantly enhanced neutralization, including a 7‑fold improvement against BDBV, while maintaining structural stability. For ADI‑15946, docking-guided multi‑site light‑chain designs produced variants with dramatically improved activity—up to 100‑fold increases against Sudan virus—without reducing effectiveness against EBOV or BDBV.</v>
      </c>
      <c r="K5" s="5" t="str">
        <f t="shared" si="11"/>
        <v>This pipeline employs multiple computational tools to prioritize affinity-enhancing mutations in complementarity-determining regions (CDRs) and to explore indirect effects through framework region (FR) modifications. These include mCSM-AB and mmCSM-AB for mutant screening, Foldseek for FR grafting, and ZDOCK for complex modeling. Candidate antibodies were expressed, purified, and evaluated using pseudovirus neutralization assays, flow cytometry binding assays, and surface plasmon resonance (SPR) affinity measurements.</v>
      </c>
      <c r="N5" s="2" t="str">
        <f t="shared" si="12"/>
        <v>https://doi.org/10.34133/research.1211</v>
      </c>
      <c r="O5" s="20">
        <v>5</v>
      </c>
      <c r="P5" s="20" t="s">
        <v>293</v>
      </c>
      <c r="Q5" s="20" t="s">
        <v>294</v>
      </c>
      <c r="R5" s="20" t="s">
        <v>295</v>
      </c>
      <c r="S5" s="20" t="s">
        <v>296</v>
      </c>
      <c r="T5" s="20" t="s">
        <v>297</v>
      </c>
      <c r="U5" s="2"/>
      <c r="V5" s="20" t="s">
        <v>267</v>
      </c>
      <c r="W5" s="2"/>
      <c r="X5" s="20" t="s">
        <v>298</v>
      </c>
      <c r="Y5" s="2"/>
      <c r="Z5" s="20" t="s">
        <v>21</v>
      </c>
      <c r="AA5" s="2"/>
      <c r="AB5" s="2"/>
      <c r="AC5" s="2"/>
      <c r="AD5" s="20" t="s">
        <v>269</v>
      </c>
      <c r="AE5" s="2"/>
      <c r="AF5" s="20" t="s">
        <v>270</v>
      </c>
      <c r="AG5" s="2"/>
      <c r="AH5" s="2"/>
      <c r="AI5" s="20" t="s">
        <v>271</v>
      </c>
      <c r="AJ5" s="2"/>
      <c r="AK5" s="20" t="s">
        <v>272</v>
      </c>
      <c r="AL5" s="2"/>
      <c r="AM5" s="2"/>
      <c r="AN5" s="2"/>
      <c r="AO5" s="2"/>
      <c r="AP5" s="20" t="s">
        <v>299</v>
      </c>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0" t="s">
        <v>73</v>
      </c>
      <c r="CC5" s="2"/>
      <c r="CD5" s="2"/>
      <c r="CE5" s="2"/>
      <c r="CF5" s="2"/>
      <c r="CG5" s="2"/>
      <c r="CH5" s="20" t="s">
        <v>79</v>
      </c>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0" t="s">
        <v>73</v>
      </c>
      <c r="DW5" s="2"/>
      <c r="DX5" s="2"/>
      <c r="DY5" s="2"/>
      <c r="DZ5" s="2"/>
      <c r="EA5" s="2"/>
      <c r="EB5" s="2"/>
      <c r="EC5" s="2"/>
      <c r="ED5" s="2"/>
      <c r="EE5" s="2"/>
      <c r="EF5" s="2"/>
      <c r="EG5" s="2"/>
      <c r="EH5" s="2"/>
      <c r="EI5" s="2"/>
      <c r="EJ5" s="2"/>
      <c r="EK5" s="2"/>
      <c r="EL5" s="2"/>
      <c r="EM5" s="2"/>
      <c r="EN5" s="2"/>
      <c r="EO5" s="2"/>
      <c r="EP5" s="2"/>
      <c r="EQ5" s="2"/>
      <c r="ER5" s="2"/>
      <c r="ES5" s="2"/>
      <c r="ET5" s="2"/>
      <c r="EU5" s="2"/>
      <c r="EV5" s="20" t="s">
        <v>73</v>
      </c>
      <c r="EW5" s="2"/>
      <c r="EX5" s="2"/>
      <c r="EY5" s="2"/>
      <c r="EZ5" s="2"/>
      <c r="FA5" s="2"/>
      <c r="FB5" s="2"/>
      <c r="FC5" s="2"/>
      <c r="FD5" s="2"/>
      <c r="FE5" s="2"/>
      <c r="FF5" s="2"/>
      <c r="FG5" s="2"/>
      <c r="FH5" s="2"/>
      <c r="FI5" s="2"/>
      <c r="FJ5" s="2"/>
      <c r="FK5" s="2"/>
      <c r="FL5" s="2"/>
      <c r="FM5" s="2"/>
      <c r="FN5" s="2"/>
      <c r="FO5" s="2"/>
      <c r="FP5" s="2"/>
      <c r="FQ5" s="2"/>
      <c r="FR5" s="20" t="s">
        <v>73</v>
      </c>
      <c r="FS5" s="2"/>
      <c r="FT5" s="2"/>
      <c r="FU5" s="2"/>
      <c r="FV5" s="2"/>
      <c r="FW5" s="2"/>
      <c r="FX5" s="2"/>
      <c r="FY5" s="2"/>
      <c r="FZ5" s="2"/>
      <c r="GA5" s="2"/>
      <c r="GB5" s="2"/>
      <c r="GC5" s="2"/>
      <c r="GD5" s="2"/>
      <c r="GE5" s="2"/>
      <c r="GF5" s="20" t="s">
        <v>73</v>
      </c>
      <c r="GG5" s="2"/>
      <c r="GH5" s="2"/>
      <c r="GI5" s="2"/>
      <c r="GJ5" s="2"/>
      <c r="GK5" s="2"/>
      <c r="GL5" s="2"/>
      <c r="GM5" s="2"/>
      <c r="GN5" s="20" t="s">
        <v>179</v>
      </c>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0" t="s">
        <v>73</v>
      </c>
      <c r="HS5" s="2"/>
      <c r="HT5" s="2"/>
      <c r="HU5" s="2"/>
      <c r="HV5" s="2"/>
      <c r="HW5" s="2"/>
      <c r="HX5" s="2"/>
      <c r="HY5" s="2"/>
      <c r="HZ5" s="2"/>
      <c r="IA5" s="2"/>
      <c r="IB5" s="20" t="s">
        <v>73</v>
      </c>
      <c r="IC5" s="2"/>
      <c r="ID5" s="2"/>
      <c r="IE5" s="2"/>
      <c r="IF5" s="2"/>
      <c r="IG5" s="2"/>
      <c r="IH5" s="2"/>
      <c r="II5" s="2"/>
      <c r="IJ5" s="20" t="s">
        <v>73</v>
      </c>
      <c r="IK5" s="2"/>
      <c r="IL5" s="2"/>
      <c r="IM5" s="2"/>
      <c r="IN5" s="2"/>
      <c r="IO5" s="2"/>
      <c r="IP5" s="2"/>
      <c r="IQ5" s="2"/>
      <c r="IR5" s="2"/>
      <c r="IS5" s="2"/>
      <c r="IT5" s="20" t="s">
        <v>73</v>
      </c>
      <c r="IU5" s="2"/>
      <c r="IV5" s="2"/>
      <c r="IW5" s="2"/>
      <c r="IX5" s="20" t="s">
        <v>73</v>
      </c>
      <c r="IY5" s="2"/>
      <c r="IZ5" s="2"/>
      <c r="JA5" s="2"/>
      <c r="JB5" s="20" t="s">
        <v>73</v>
      </c>
      <c r="JC5" s="2"/>
      <c r="JD5" s="2"/>
      <c r="JE5" s="2"/>
      <c r="JF5" s="20" t="s">
        <v>73</v>
      </c>
      <c r="JG5" s="2"/>
      <c r="JH5" s="2"/>
      <c r="JI5" s="2"/>
      <c r="JJ5" s="2"/>
      <c r="JK5" s="2"/>
      <c r="JL5" s="2"/>
      <c r="JM5" s="2"/>
      <c r="JN5" s="2"/>
      <c r="JO5" s="2"/>
      <c r="JP5" s="2"/>
      <c r="JQ5" s="2"/>
      <c r="JR5" s="2"/>
      <c r="JS5" s="2"/>
      <c r="JT5" s="2"/>
      <c r="JU5" s="2"/>
      <c r="JV5" s="2"/>
      <c r="JW5" s="2"/>
      <c r="JX5" s="2"/>
      <c r="JY5" s="2"/>
      <c r="JZ5" s="2"/>
      <c r="KA5" s="2"/>
      <c r="KB5" s="2"/>
      <c r="KC5" s="2"/>
      <c r="KD5" s="2"/>
      <c r="KE5" s="2"/>
      <c r="KF5" s="20" t="s">
        <v>73</v>
      </c>
      <c r="KG5" s="2"/>
      <c r="KH5" s="20" t="s">
        <v>300</v>
      </c>
      <c r="KI5" s="2"/>
      <c r="KJ5" s="20" t="s">
        <v>301</v>
      </c>
      <c r="KK5" s="2"/>
      <c r="KL5" s="1"/>
      <c r="KM5" s="1"/>
    </row>
    <row r="6" spans="1:299" ht="60" customHeight="1" x14ac:dyDescent="0.25">
      <c r="A6" s="5" t="str">
        <f t="shared" si="1"/>
        <v xml:space="preserve">Kupferschmidt, et al, (2026) </v>
      </c>
      <c r="B6" s="3" t="str">
        <f t="shared" si="2"/>
        <v>Scientists play catch-up to startling Ebola outbreak</v>
      </c>
      <c r="C6" s="4" t="str">
        <f t="shared" si="3"/>
        <v>News, Other grey literature report</v>
      </c>
      <c r="D6" s="4" t="str">
        <f t="shared" si="4"/>
        <v>Bundibugyo</v>
      </c>
      <c r="E6" s="4" t="str">
        <f t="shared" si="5"/>
        <v>No</v>
      </c>
      <c r="F6" s="4" t="str">
        <f t="shared" si="6"/>
        <v/>
      </c>
      <c r="G6" s="4" t="str">
        <f t="shared" si="7"/>
        <v/>
      </c>
      <c r="H6" s="4" t="str">
        <f t="shared" si="8"/>
        <v/>
      </c>
      <c r="I6" s="4" t="str">
        <f t="shared" si="9"/>
        <v/>
      </c>
      <c r="J6" s="5" t="str">
        <f t="shared" si="10"/>
        <v/>
      </c>
      <c r="K6" s="5" t="str">
        <f t="shared" si="11"/>
        <v/>
      </c>
      <c r="N6" s="2" t="str">
        <f t="shared" si="12"/>
        <v>https://doi.org/10.1126/science.aej0202</v>
      </c>
      <c r="O6" s="20">
        <v>6</v>
      </c>
      <c r="P6" s="20" t="s">
        <v>1357</v>
      </c>
      <c r="Q6" s="20" t="s">
        <v>302</v>
      </c>
      <c r="R6" s="20" t="s">
        <v>303</v>
      </c>
      <c r="S6" s="20" t="s">
        <v>304</v>
      </c>
      <c r="T6" s="20" t="s">
        <v>297</v>
      </c>
      <c r="U6" s="2"/>
      <c r="V6" s="20">
        <v>2</v>
      </c>
      <c r="W6" s="2"/>
      <c r="X6" s="20" t="s">
        <v>305</v>
      </c>
      <c r="Y6" s="2"/>
      <c r="Z6" s="20" t="s">
        <v>21</v>
      </c>
      <c r="AA6" s="2"/>
      <c r="AB6" s="2"/>
      <c r="AC6" s="2"/>
      <c r="AD6" s="20" t="s">
        <v>269</v>
      </c>
      <c r="AE6" s="2"/>
      <c r="AF6" s="20" t="s">
        <v>270</v>
      </c>
      <c r="AG6" s="2"/>
      <c r="AH6" s="2"/>
      <c r="AI6" s="20" t="s">
        <v>306</v>
      </c>
      <c r="AJ6" s="2"/>
      <c r="AK6" s="20" t="s">
        <v>307</v>
      </c>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1"/>
      <c r="KM6" s="1"/>
    </row>
    <row r="7" spans="1:299" ht="60" customHeight="1" x14ac:dyDescent="0.25">
      <c r="A7" s="5" t="str">
        <f t="shared" si="1"/>
        <v>WangM, et al, (2026), Nature Communications</v>
      </c>
      <c r="B7" s="3" t="str">
        <f t="shared" si="2"/>
        <v>A highly potent nanobody-based bispecific therapeutic provides broad-spectrum protection against ebolavirus</v>
      </c>
      <c r="C7" s="4" t="str">
        <f t="shared" si="3"/>
        <v>Primary - article, Experimental, Peer-reviewed publication</v>
      </c>
      <c r="D7" s="4" t="str">
        <f t="shared" si="4"/>
        <v>Bundibugyo</v>
      </c>
      <c r="E7" s="4" t="str">
        <f t="shared" si="5"/>
        <v>No</v>
      </c>
      <c r="F7" s="4" t="str">
        <f t="shared" si="6"/>
        <v>This study identified two camelid-derived nanobodies (1A10 and BA2) that neutralize EBOV, SUDV, and BDBV in vitro and protect female rodents against these pathogens. This positions their bispecific antibody as a strong broad-spectrum anti-ebolavirus candidate.</v>
      </c>
      <c r="G7" s="4" t="str">
        <f t="shared" si="7"/>
        <v>Thearapeutics; pathogen  Protein-inhibitor/binding interactions</v>
      </c>
      <c r="H7" s="4" t="str">
        <f t="shared" si="8"/>
        <v>Animal - model of disease</v>
      </c>
      <c r="I7" s="4" t="str">
        <f t="shared" si="9"/>
        <v/>
      </c>
      <c r="J7" s="5" t="str">
        <f t="shared" si="10"/>
        <v>THERAPEUTICS: Identified two camelid-derived nanobodies (1A10 and BA2) that protect female rodents against EBOV, SUDV, and BDBV. A bispecific antibody (BA2-1A10) via GS linker-mediated IgG-Fc fusion provided highly potent protection against all three viruses in female rodents model and positions it as a strong broad-spectrum anti-ebolavirus candidate.
PROETIN-INHIBITOR/BINDING INTERACTIONS: Identified two camelid-derived nanobodies (1A10 and BA2) that neutralize EBOV, SUDV, and BDBV in vitro. 1A10 and BA2 bind conserved but non-overlapping epitopes near the GP1 base and GP2’s internal fusion loop (IFL), and biochemical analyses revealed their distinct neutralization mechanisms.</v>
      </c>
      <c r="K7" s="5" t="str">
        <f t="shared" si="11"/>
        <v>Researchers identified two camelid-derived nanobodies (1A10 and BA2) that neutralize Ebola virus, Sudan virus, and Bundibugyo virus in vitro and provide protection in rodent models, then used cryo-EM and biochemical analyses to determine how each antibody binds distinct conserved epitopes on the viral glycoprotein. Based on these structural insights, they engineered a bispecific antibody (BA2-1A10) using IgG-Fc fusion, and tested its protective efficacy in female rodents as a broad-spectrum therapeutic candidate.</v>
      </c>
      <c r="N7" s="2" t="str">
        <f t="shared" si="12"/>
        <v>https://doi.org/10.1038/s41467-026-70464-6</v>
      </c>
      <c r="O7" s="20">
        <v>7</v>
      </c>
      <c r="P7" s="20" t="s">
        <v>308</v>
      </c>
      <c r="Q7" s="20" t="s">
        <v>309</v>
      </c>
      <c r="R7" s="20" t="s">
        <v>310</v>
      </c>
      <c r="S7" s="20" t="s">
        <v>311</v>
      </c>
      <c r="T7" s="20" t="s">
        <v>312</v>
      </c>
      <c r="U7" s="2"/>
      <c r="V7" s="20" t="s">
        <v>288</v>
      </c>
      <c r="W7" s="2"/>
      <c r="X7" s="20" t="s">
        <v>313</v>
      </c>
      <c r="Y7" s="2"/>
      <c r="Z7" s="20" t="s">
        <v>21</v>
      </c>
      <c r="AA7" s="2"/>
      <c r="AB7" s="2"/>
      <c r="AC7" s="2"/>
      <c r="AD7" s="20" t="s">
        <v>269</v>
      </c>
      <c r="AE7" s="2"/>
      <c r="AF7" s="20" t="s">
        <v>270</v>
      </c>
      <c r="AG7" s="2"/>
      <c r="AH7" s="2"/>
      <c r="AI7" s="20" t="s">
        <v>271</v>
      </c>
      <c r="AJ7" s="2"/>
      <c r="AK7" s="20" t="s">
        <v>272</v>
      </c>
      <c r="AL7" s="2"/>
      <c r="AM7" s="2"/>
      <c r="AN7" s="2"/>
      <c r="AO7" s="2"/>
      <c r="AP7" s="20" t="s">
        <v>314</v>
      </c>
      <c r="AQ7" s="2"/>
      <c r="AR7" s="2"/>
      <c r="AS7" s="2"/>
      <c r="AT7" s="2"/>
      <c r="AU7" s="2"/>
      <c r="AV7" s="2"/>
      <c r="AW7" s="2"/>
      <c r="AX7" s="2"/>
      <c r="AY7" s="2"/>
      <c r="AZ7" s="2"/>
      <c r="BA7" s="2"/>
      <c r="BB7" s="2"/>
      <c r="BC7" s="2"/>
      <c r="BD7" s="2"/>
      <c r="BE7" s="2"/>
      <c r="BF7" s="2"/>
      <c r="BG7" s="2"/>
      <c r="BH7" s="2"/>
      <c r="BI7" s="2"/>
      <c r="BJ7" s="2"/>
      <c r="BK7" s="2"/>
      <c r="BL7" s="2"/>
      <c r="BM7" s="2"/>
      <c r="BN7" s="20" t="s">
        <v>59</v>
      </c>
      <c r="BO7" s="2"/>
      <c r="BP7" s="2"/>
      <c r="BQ7" s="2"/>
      <c r="BR7" s="2"/>
      <c r="BS7" s="2"/>
      <c r="BT7" s="2"/>
      <c r="BU7" s="2"/>
      <c r="BV7" s="2"/>
      <c r="BW7" s="2"/>
      <c r="BX7" s="2"/>
      <c r="BY7" s="2"/>
      <c r="BZ7" s="2"/>
      <c r="CA7" s="2"/>
      <c r="CB7" s="2"/>
      <c r="CC7" s="2"/>
      <c r="CD7" s="2"/>
      <c r="CE7" s="2"/>
      <c r="CF7" s="2"/>
      <c r="CG7" s="2"/>
      <c r="CH7" s="20" t="s">
        <v>79</v>
      </c>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0" t="s">
        <v>73</v>
      </c>
      <c r="DW7" s="2"/>
      <c r="DX7" s="2"/>
      <c r="DY7" s="2"/>
      <c r="DZ7" s="2"/>
      <c r="EA7" s="2"/>
      <c r="EB7" s="2"/>
      <c r="EC7" s="2"/>
      <c r="ED7" s="2"/>
      <c r="EE7" s="2"/>
      <c r="EF7" s="2"/>
      <c r="EG7" s="2"/>
      <c r="EH7" s="2"/>
      <c r="EI7" s="2"/>
      <c r="EJ7" s="2"/>
      <c r="EK7" s="2"/>
      <c r="EL7" s="2"/>
      <c r="EM7" s="2"/>
      <c r="EN7" s="2"/>
      <c r="EO7" s="2"/>
      <c r="EP7" s="2"/>
      <c r="EQ7" s="2"/>
      <c r="ER7" s="2"/>
      <c r="ES7" s="2"/>
      <c r="ET7" s="2"/>
      <c r="EU7" s="2"/>
      <c r="EV7" s="20" t="s">
        <v>73</v>
      </c>
      <c r="EW7" s="2"/>
      <c r="EX7" s="2"/>
      <c r="EY7" s="2"/>
      <c r="EZ7" s="2"/>
      <c r="FA7" s="2"/>
      <c r="FB7" s="2"/>
      <c r="FC7" s="2"/>
      <c r="FD7" s="2"/>
      <c r="FE7" s="2"/>
      <c r="FF7" s="2"/>
      <c r="FG7" s="2"/>
      <c r="FH7" s="2"/>
      <c r="FI7" s="2"/>
      <c r="FJ7" s="2"/>
      <c r="FK7" s="2"/>
      <c r="FL7" s="2"/>
      <c r="FM7" s="2"/>
      <c r="FN7" s="2"/>
      <c r="FO7" s="2"/>
      <c r="FP7" s="2"/>
      <c r="FQ7" s="2"/>
      <c r="FR7" s="20" t="s">
        <v>73</v>
      </c>
      <c r="FS7" s="2"/>
      <c r="FT7" s="2"/>
      <c r="FU7" s="2"/>
      <c r="FV7" s="2"/>
      <c r="FW7" s="2"/>
      <c r="FX7" s="2"/>
      <c r="FY7" s="2"/>
      <c r="FZ7" s="2"/>
      <c r="GA7" s="2"/>
      <c r="GB7" s="2"/>
      <c r="GC7" s="2"/>
      <c r="GD7" s="2"/>
      <c r="GE7" s="2"/>
      <c r="GF7" s="20" t="s">
        <v>73</v>
      </c>
      <c r="GG7" s="2"/>
      <c r="GH7" s="2"/>
      <c r="GI7" s="2"/>
      <c r="GJ7" s="2"/>
      <c r="GK7" s="2"/>
      <c r="GL7" s="2"/>
      <c r="GM7" s="2"/>
      <c r="GN7" s="2"/>
      <c r="GO7" s="2"/>
      <c r="GP7" s="20" t="s">
        <v>73</v>
      </c>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0" t="s">
        <v>73</v>
      </c>
      <c r="HS7" s="2"/>
      <c r="HT7" s="20" t="s">
        <v>207</v>
      </c>
      <c r="HU7" s="2"/>
      <c r="HV7" s="2"/>
      <c r="HW7" s="2"/>
      <c r="HX7" s="2"/>
      <c r="HY7" s="2"/>
      <c r="HZ7" s="2"/>
      <c r="IA7" s="2"/>
      <c r="IB7" s="2"/>
      <c r="IC7" s="2"/>
      <c r="ID7" s="2"/>
      <c r="IE7" s="2"/>
      <c r="IF7" s="2"/>
      <c r="IG7" s="2"/>
      <c r="IH7" s="2"/>
      <c r="II7" s="2"/>
      <c r="IJ7" s="20" t="s">
        <v>73</v>
      </c>
      <c r="IK7" s="2"/>
      <c r="IL7" s="2"/>
      <c r="IM7" s="2"/>
      <c r="IN7" s="2"/>
      <c r="IO7" s="2"/>
      <c r="IP7" s="20" t="s">
        <v>225</v>
      </c>
      <c r="IQ7" s="2"/>
      <c r="IR7" s="2"/>
      <c r="IS7" s="2"/>
      <c r="IT7" s="2"/>
      <c r="IU7" s="2"/>
      <c r="IV7" s="2"/>
      <c r="IW7" s="2"/>
      <c r="IX7" s="20" t="s">
        <v>73</v>
      </c>
      <c r="IY7" s="2"/>
      <c r="IZ7" s="2"/>
      <c r="JA7" s="2"/>
      <c r="JB7" s="20" t="s">
        <v>73</v>
      </c>
      <c r="JC7" s="2"/>
      <c r="JD7" s="2"/>
      <c r="JE7" s="2"/>
      <c r="JF7" s="20" t="s">
        <v>73</v>
      </c>
      <c r="JG7" s="2"/>
      <c r="JH7" s="2"/>
      <c r="JI7" s="2"/>
      <c r="JJ7" s="2"/>
      <c r="JK7" s="2"/>
      <c r="JL7" s="2"/>
      <c r="JM7" s="2"/>
      <c r="JN7" s="2"/>
      <c r="JO7" s="2"/>
      <c r="JP7" s="2"/>
      <c r="JQ7" s="2"/>
      <c r="JR7" s="2"/>
      <c r="JS7" s="2"/>
      <c r="JT7" s="2"/>
      <c r="JU7" s="2"/>
      <c r="JV7" s="2"/>
      <c r="JW7" s="2"/>
      <c r="JX7" s="2"/>
      <c r="JY7" s="2"/>
      <c r="JZ7" s="2"/>
      <c r="KA7" s="2"/>
      <c r="KB7" s="2"/>
      <c r="KC7" s="2"/>
      <c r="KD7" s="2"/>
      <c r="KE7" s="2"/>
      <c r="KF7" s="20" t="s">
        <v>73</v>
      </c>
      <c r="KG7" s="2"/>
      <c r="KH7" s="20" t="s">
        <v>315</v>
      </c>
      <c r="KI7" s="2"/>
      <c r="KJ7" s="20" t="s">
        <v>316</v>
      </c>
      <c r="KK7" s="2"/>
      <c r="KL7" s="1"/>
      <c r="KM7" s="1"/>
    </row>
    <row r="8" spans="1:299" ht="60" customHeight="1" x14ac:dyDescent="0.25">
      <c r="A8" s="5" t="str">
        <f t="shared" si="1"/>
        <v>ZhouJ, et al, (2026), Emerging microbes &amp; infections</v>
      </c>
      <c r="B8" s="3" t="str">
        <f t="shared" si="2"/>
        <v>Engineered Bispecific Antibodies Achieve Broad and Potent Protection Against Multiple Ebolavirus Species</v>
      </c>
      <c r="C8" s="4" t="str">
        <f t="shared" si="3"/>
        <v>Primary - article, Experimental, Peer-reviewed publication</v>
      </c>
      <c r="D8" s="4" t="str">
        <f t="shared" si="4"/>
        <v>Bundibugyo</v>
      </c>
      <c r="E8" s="4" t="str">
        <f t="shared" si="5"/>
        <v>No</v>
      </c>
      <c r="F8" s="4" t="str">
        <f t="shared" si="6"/>
        <v>Using both recombinant vesicular stomatitis virus expressing glycoproteins from Ebola virus, Sudan virus, and Bundibugyo virus (rVSV-EBOV/SUDV/BDBV) infection models and authentic mouse-adapted EBOV challenge systems, we demonstrate that these bispecific constructs not only retained the parental neutralization potency but also exhibited markedly enhanced cross-species protection.</v>
      </c>
      <c r="G8" s="4" t="str">
        <f t="shared" si="7"/>
        <v>Vaccine development</v>
      </c>
      <c r="H8" s="4" t="str">
        <f t="shared" si="8"/>
        <v>Animal - model of disease</v>
      </c>
      <c r="I8" s="4" t="str">
        <f t="shared" si="9"/>
        <v/>
      </c>
      <c r="J8" s="5" t="str">
        <f t="shared" si="10"/>
        <v>VACCINE DEVELOPMENT:
Engineered bispecific antibodies, particularly the IgG‑ScFv construct S1+5, markedly enhanced neutralization potency against Bundibugyo virus compared with the parental monoclonal antibodies. While one parental antibody showed almost no BDBV activity, the bispecific designs restored strong binding and reduced PRNT₅₀ values to the low‑nanogram range. In  mouse model, S1+5 provided 100% protection against lethal BDBV infection and prevented virus‑induced tissue damage. Additionally, S1+5 showed a high barrier to viral escape, maintaining activity across serial BDBV passaging where other antibodies lost effectiveness..</v>
      </c>
      <c r="K8" s="5" t="str">
        <f t="shared" si="11"/>
        <v>In this study, we engineered three bsAb formats-CrossMab®, DVD-IgG, and IgG-ScFv-directed against distinct ebolavirus epitopes and systematically characterized their antiviral activities. Evaluated binding and neutralization against EBOV, SUDV, and BDBV using ELISA, recombinant VSV pseudovirus assays, and authentic virus plaque‑reduction neutralization tests. Finally, they assessed viral escape through serial passaging under antibody pressure and tested in vivo protection in IFNAR‑/‑ mice challenged with rVSV‑EBOV, rVSV‑SUDV, or rVSV‑BDBV.</v>
      </c>
      <c r="N8" s="2" t="str">
        <f t="shared" si="12"/>
        <v>https://doi.org/10.1080/22221751.2026.2668755</v>
      </c>
      <c r="O8" s="20">
        <v>8</v>
      </c>
      <c r="P8" s="20" t="s">
        <v>317</v>
      </c>
      <c r="Q8" s="20" t="s">
        <v>318</v>
      </c>
      <c r="R8" s="20" t="s">
        <v>319</v>
      </c>
      <c r="S8" s="20" t="s">
        <v>320</v>
      </c>
      <c r="T8" s="20" t="s">
        <v>297</v>
      </c>
      <c r="U8" s="2"/>
      <c r="V8" s="20" t="s">
        <v>267</v>
      </c>
      <c r="W8" s="2"/>
      <c r="X8" s="20" t="s">
        <v>321</v>
      </c>
      <c r="Y8" s="2"/>
      <c r="Z8" s="20" t="s">
        <v>21</v>
      </c>
      <c r="AA8" s="2"/>
      <c r="AB8" s="2"/>
      <c r="AC8" s="2"/>
      <c r="AD8" s="20" t="s">
        <v>269</v>
      </c>
      <c r="AE8" s="2"/>
      <c r="AF8" s="20" t="s">
        <v>270</v>
      </c>
      <c r="AG8" s="2"/>
      <c r="AH8" s="2"/>
      <c r="AI8" s="20" t="s">
        <v>271</v>
      </c>
      <c r="AJ8" s="2"/>
      <c r="AK8" s="20" t="s">
        <v>272</v>
      </c>
      <c r="AL8" s="2"/>
      <c r="AM8" s="2"/>
      <c r="AN8" s="2"/>
      <c r="AO8" s="2"/>
      <c r="AP8" s="20" t="s">
        <v>322</v>
      </c>
      <c r="AQ8" s="2"/>
      <c r="AR8" s="2"/>
      <c r="AS8" s="2"/>
      <c r="AT8" s="2"/>
      <c r="AU8" s="2"/>
      <c r="AV8" s="2"/>
      <c r="AW8" s="2"/>
      <c r="AX8" s="2"/>
      <c r="AY8" s="2"/>
      <c r="AZ8" s="2"/>
      <c r="BA8" s="2"/>
      <c r="BB8" s="2"/>
      <c r="BC8" s="2"/>
      <c r="BD8" s="2"/>
      <c r="BE8" s="2"/>
      <c r="BF8" s="2"/>
      <c r="BG8" s="2"/>
      <c r="BH8" s="2"/>
      <c r="BI8" s="2"/>
      <c r="BJ8" s="2"/>
      <c r="BK8" s="2"/>
      <c r="BL8" s="2"/>
      <c r="BM8" s="2"/>
      <c r="BN8" s="20" t="s">
        <v>59</v>
      </c>
      <c r="BO8" s="2"/>
      <c r="BP8" s="2"/>
      <c r="BQ8" s="2"/>
      <c r="BR8" s="2"/>
      <c r="BS8" s="2"/>
      <c r="BT8" s="2"/>
      <c r="BU8" s="2"/>
      <c r="BV8" s="2"/>
      <c r="BW8" s="2"/>
      <c r="BX8" s="2"/>
      <c r="BY8" s="2"/>
      <c r="BZ8" s="2"/>
      <c r="CA8" s="2"/>
      <c r="CB8" s="2"/>
      <c r="CC8" s="2"/>
      <c r="CD8" s="2"/>
      <c r="CE8" s="2"/>
      <c r="CF8" s="2"/>
      <c r="CG8" s="2"/>
      <c r="CH8" s="20" t="s">
        <v>79</v>
      </c>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0" t="s">
        <v>73</v>
      </c>
      <c r="DW8" s="2"/>
      <c r="DX8" s="2"/>
      <c r="DY8" s="2"/>
      <c r="DZ8" s="2"/>
      <c r="EA8" s="2"/>
      <c r="EB8" s="2"/>
      <c r="EC8" s="2"/>
      <c r="ED8" s="2"/>
      <c r="EE8" s="2"/>
      <c r="EF8" s="2"/>
      <c r="EG8" s="2"/>
      <c r="EH8" s="2"/>
      <c r="EI8" s="2"/>
      <c r="EJ8" s="2"/>
      <c r="EK8" s="2"/>
      <c r="EL8" s="2"/>
      <c r="EM8" s="2"/>
      <c r="EN8" s="2"/>
      <c r="EO8" s="2"/>
      <c r="EP8" s="2"/>
      <c r="EQ8" s="2"/>
      <c r="ER8" s="2"/>
      <c r="ES8" s="2"/>
      <c r="ET8" s="2"/>
      <c r="EU8" s="2"/>
      <c r="EV8" s="20" t="s">
        <v>73</v>
      </c>
      <c r="EW8" s="2"/>
      <c r="EX8" s="2"/>
      <c r="EY8" s="2"/>
      <c r="EZ8" s="2"/>
      <c r="FA8" s="2"/>
      <c r="FB8" s="2"/>
      <c r="FC8" s="2"/>
      <c r="FD8" s="2"/>
      <c r="FE8" s="2"/>
      <c r="FF8" s="2"/>
      <c r="FG8" s="2"/>
      <c r="FH8" s="2"/>
      <c r="FI8" s="2"/>
      <c r="FJ8" s="2"/>
      <c r="FK8" s="2"/>
      <c r="FL8" s="2"/>
      <c r="FM8" s="2"/>
      <c r="FN8" s="2"/>
      <c r="FO8" s="2"/>
      <c r="FP8" s="2"/>
      <c r="FQ8" s="2"/>
      <c r="FR8" s="20" t="s">
        <v>73</v>
      </c>
      <c r="FS8" s="2"/>
      <c r="FT8" s="2"/>
      <c r="FU8" s="2"/>
      <c r="FV8" s="2"/>
      <c r="FW8" s="2"/>
      <c r="FX8" s="2"/>
      <c r="FY8" s="2"/>
      <c r="FZ8" s="2"/>
      <c r="GA8" s="2"/>
      <c r="GB8" s="2"/>
      <c r="GC8" s="2"/>
      <c r="GD8" s="2"/>
      <c r="GE8" s="2"/>
      <c r="GF8" s="20" t="s">
        <v>73</v>
      </c>
      <c r="GG8" s="2"/>
      <c r="GH8" s="2"/>
      <c r="GI8" s="2"/>
      <c r="GJ8" s="2"/>
      <c r="GK8" s="2"/>
      <c r="GL8" s="2"/>
      <c r="GM8" s="2"/>
      <c r="GN8" s="20" t="s">
        <v>179</v>
      </c>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0" t="s">
        <v>73</v>
      </c>
      <c r="HS8" s="2"/>
      <c r="HT8" s="2"/>
      <c r="HU8" s="2"/>
      <c r="HV8" s="2"/>
      <c r="HW8" s="2"/>
      <c r="HX8" s="2"/>
      <c r="HY8" s="2"/>
      <c r="HZ8" s="2"/>
      <c r="IA8" s="2"/>
      <c r="IB8" s="20" t="s">
        <v>73</v>
      </c>
      <c r="IC8" s="2"/>
      <c r="ID8" s="2"/>
      <c r="IE8" s="2"/>
      <c r="IF8" s="2"/>
      <c r="IG8" s="2"/>
      <c r="IH8" s="2"/>
      <c r="II8" s="2"/>
      <c r="IJ8" s="20" t="s">
        <v>73</v>
      </c>
      <c r="IK8" s="2"/>
      <c r="IL8" s="2"/>
      <c r="IM8" s="2"/>
      <c r="IN8" s="2"/>
      <c r="IO8" s="2"/>
      <c r="IP8" s="2"/>
      <c r="IQ8" s="2"/>
      <c r="IR8" s="2"/>
      <c r="IS8" s="2"/>
      <c r="IT8" s="20" t="s">
        <v>73</v>
      </c>
      <c r="IU8" s="2"/>
      <c r="IV8" s="2"/>
      <c r="IW8" s="2"/>
      <c r="IX8" s="20" t="s">
        <v>73</v>
      </c>
      <c r="IY8" s="2"/>
      <c r="IZ8" s="2"/>
      <c r="JA8" s="2"/>
      <c r="JB8" s="20" t="s">
        <v>73</v>
      </c>
      <c r="JC8" s="2"/>
      <c r="JD8" s="2"/>
      <c r="JE8" s="2"/>
      <c r="JF8" s="20" t="s">
        <v>73</v>
      </c>
      <c r="JG8" s="2"/>
      <c r="JH8" s="2"/>
      <c r="JI8" s="2"/>
      <c r="JJ8" s="2"/>
      <c r="JK8" s="2"/>
      <c r="JL8" s="2"/>
      <c r="JM8" s="2"/>
      <c r="JN8" s="2"/>
      <c r="JO8" s="2"/>
      <c r="JP8" s="2"/>
      <c r="JQ8" s="2"/>
      <c r="JR8" s="2"/>
      <c r="JS8" s="2"/>
      <c r="JT8" s="2"/>
      <c r="JU8" s="2"/>
      <c r="JV8" s="2"/>
      <c r="JW8" s="2"/>
      <c r="JX8" s="2"/>
      <c r="JY8" s="2"/>
      <c r="JZ8" s="2"/>
      <c r="KA8" s="2"/>
      <c r="KB8" s="2"/>
      <c r="KC8" s="2"/>
      <c r="KD8" s="2"/>
      <c r="KE8" s="2"/>
      <c r="KF8" s="20" t="s">
        <v>73</v>
      </c>
      <c r="KG8" s="2"/>
      <c r="KH8" s="20" t="s">
        <v>323</v>
      </c>
      <c r="KI8" s="2"/>
      <c r="KJ8" s="20" t="s">
        <v>324</v>
      </c>
      <c r="KK8" s="2"/>
      <c r="KL8" s="1"/>
      <c r="KM8" s="1"/>
    </row>
    <row r="9" spans="1:299" ht="60" customHeight="1" x14ac:dyDescent="0.25">
      <c r="A9" s="5" t="str">
        <f t="shared" si="1"/>
        <v>ZhangX, et al, (2026), Virologica Sinica</v>
      </c>
      <c r="B9" s="3" t="str">
        <f t="shared" si="2"/>
        <v>Nanobody targeting glycan cap confers broad orthoebolavirus neutralization</v>
      </c>
      <c r="C9" s="4" t="str">
        <f t="shared" si="3"/>
        <v>Primary - article, Experimental, Peer-reviewed publication</v>
      </c>
      <c r="D9" s="4" t="str">
        <f t="shared" si="4"/>
        <v>Bundibugyo</v>
      </c>
      <c r="E9" s="4" t="str">
        <f t="shared" si="5"/>
        <v>No</v>
      </c>
      <c r="F9" s="4" t="str">
        <f t="shared" si="6"/>
        <v>Identified a high-affinity nanobody, Bundibugyo virus (BDBV)-Nb02 that neutralizes both EBOV and BDBV with high potency and nanomolar affinity and further bivalent engineering enhances neutralization potency by up to 56-fold. Residues F248 and NP278/279 are critical for broad neutralization of Ebolaviruses.</v>
      </c>
      <c r="G9" s="4" t="str">
        <f t="shared" si="7"/>
        <v>pathogen  Protein-inhibitor/binding interactions</v>
      </c>
      <c r="H9" s="4" t="str">
        <f t="shared" si="8"/>
        <v/>
      </c>
      <c r="I9" s="4" t="str">
        <f t="shared" si="9"/>
        <v/>
      </c>
      <c r="J9" s="5" t="str">
        <f t="shared" si="10"/>
        <v>PROTEIN INHIBITOR/BINDING INTERACTIONS: Researchers identified a high-affinity nanobody (BDBV-Nb02) from a synthetic phage display library that targets the glycan cap of Bundibugyo virus glycoprotein and potently neutralizes both Bundibugyo and Ebola virus pseudoviruses. Engineering the nanobody into a bivalent format greatly improved neutralization potency by up to 56-fold, while structural analyses showed it targets a conserved glycan cleft, though Fc-fusion reduced its effectiveness by disrupting access to key epitopes.</v>
      </c>
      <c r="K9" s="5" t="str">
        <f t="shared" si="11"/>
        <v>Screened a fully synthetic phage display library and identified a nanobody, BDBV-Nb02, which targets the glycan cap region of BDBV GP and characterized its binding kinetics and neutralization activity against EBOV and BDBV pseudoviruses, and demonstrated that a bivalent format markedly enhances its neutralizing potency. Using epitope competition assays, site-directed mutagenesis, and molecular docking analyses, further defined key residues involved in neutralization and elucidated the structural basis underlying its cross-reactive activity.</v>
      </c>
      <c r="N9" s="2" t="str">
        <f t="shared" si="12"/>
        <v>https://doi.org/10.1016/j.virs.2026.03.018</v>
      </c>
      <c r="O9" s="20">
        <v>9</v>
      </c>
      <c r="P9" s="20" t="s">
        <v>325</v>
      </c>
      <c r="Q9" s="20" t="s">
        <v>326</v>
      </c>
      <c r="R9" s="20" t="s">
        <v>327</v>
      </c>
      <c r="S9" s="20" t="s">
        <v>328</v>
      </c>
      <c r="T9" s="20" t="s">
        <v>312</v>
      </c>
      <c r="U9" s="2"/>
      <c r="V9" s="20" t="s">
        <v>288</v>
      </c>
      <c r="W9" s="2"/>
      <c r="X9" s="20" t="s">
        <v>321</v>
      </c>
      <c r="Y9" s="2"/>
      <c r="Z9" s="20" t="s">
        <v>21</v>
      </c>
      <c r="AA9" s="2"/>
      <c r="AB9" s="2"/>
      <c r="AC9" s="2"/>
      <c r="AD9" s="20" t="s">
        <v>269</v>
      </c>
      <c r="AE9" s="2"/>
      <c r="AF9" s="20" t="s">
        <v>270</v>
      </c>
      <c r="AG9" s="2"/>
      <c r="AH9" s="2"/>
      <c r="AI9" s="20" t="s">
        <v>271</v>
      </c>
      <c r="AJ9" s="2"/>
      <c r="AK9" s="20" t="s">
        <v>272</v>
      </c>
      <c r="AL9" s="2"/>
      <c r="AM9" s="2"/>
      <c r="AN9" s="2"/>
      <c r="AO9" s="2"/>
      <c r="AP9" s="20" t="s">
        <v>329</v>
      </c>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0" t="s">
        <v>73</v>
      </c>
      <c r="CC9" s="2"/>
      <c r="CD9" s="2"/>
      <c r="CE9" s="2"/>
      <c r="CF9" s="2"/>
      <c r="CG9" s="2"/>
      <c r="CH9" s="20" t="s">
        <v>79</v>
      </c>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0" t="s">
        <v>73</v>
      </c>
      <c r="DW9" s="2"/>
      <c r="DX9" s="2"/>
      <c r="DY9" s="2"/>
      <c r="DZ9" s="2"/>
      <c r="EA9" s="2"/>
      <c r="EB9" s="2"/>
      <c r="EC9" s="2"/>
      <c r="ED9" s="2"/>
      <c r="EE9" s="2"/>
      <c r="EF9" s="2"/>
      <c r="EG9" s="2"/>
      <c r="EH9" s="2"/>
      <c r="EI9" s="2"/>
      <c r="EJ9" s="2"/>
      <c r="EK9" s="2"/>
      <c r="EL9" s="2"/>
      <c r="EM9" s="2"/>
      <c r="EN9" s="2"/>
      <c r="EO9" s="2"/>
      <c r="EP9" s="2"/>
      <c r="EQ9" s="2"/>
      <c r="ER9" s="2"/>
      <c r="ES9" s="2"/>
      <c r="ET9" s="2"/>
      <c r="EU9" s="2"/>
      <c r="EV9" s="20" t="s">
        <v>73</v>
      </c>
      <c r="EW9" s="2"/>
      <c r="EX9" s="2"/>
      <c r="EY9" s="2"/>
      <c r="EZ9" s="2"/>
      <c r="FA9" s="2"/>
      <c r="FB9" s="2"/>
      <c r="FC9" s="2"/>
      <c r="FD9" s="2"/>
      <c r="FE9" s="2"/>
      <c r="FF9" s="2"/>
      <c r="FG9" s="2"/>
      <c r="FH9" s="2"/>
      <c r="FI9" s="2"/>
      <c r="FJ9" s="2"/>
      <c r="FK9" s="2"/>
      <c r="FL9" s="2"/>
      <c r="FM9" s="2"/>
      <c r="FN9" s="2"/>
      <c r="FO9" s="2"/>
      <c r="FP9" s="2"/>
      <c r="FQ9" s="2"/>
      <c r="FR9" s="20" t="s">
        <v>73</v>
      </c>
      <c r="FS9" s="2"/>
      <c r="FT9" s="2"/>
      <c r="FU9" s="2"/>
      <c r="FV9" s="2"/>
      <c r="FW9" s="2"/>
      <c r="FX9" s="2"/>
      <c r="FY9" s="2"/>
      <c r="FZ9" s="2"/>
      <c r="GA9" s="2"/>
      <c r="GB9" s="2"/>
      <c r="GC9" s="2"/>
      <c r="GD9" s="2"/>
      <c r="GE9" s="2"/>
      <c r="GF9" s="20" t="s">
        <v>73</v>
      </c>
      <c r="GG9" s="2"/>
      <c r="GH9" s="2"/>
      <c r="GI9" s="2"/>
      <c r="GJ9" s="2"/>
      <c r="GK9" s="2"/>
      <c r="GL9" s="2"/>
      <c r="GM9" s="2"/>
      <c r="GN9" s="2"/>
      <c r="GO9" s="2"/>
      <c r="GP9" s="20" t="s">
        <v>73</v>
      </c>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0" t="s">
        <v>73</v>
      </c>
      <c r="HS9" s="2"/>
      <c r="HT9" s="2"/>
      <c r="HU9" s="2"/>
      <c r="HV9" s="2"/>
      <c r="HW9" s="2"/>
      <c r="HX9" s="2"/>
      <c r="HY9" s="2"/>
      <c r="HZ9" s="2"/>
      <c r="IA9" s="2"/>
      <c r="IB9" s="20" t="s">
        <v>73</v>
      </c>
      <c r="IC9" s="2"/>
      <c r="ID9" s="2"/>
      <c r="IE9" s="2"/>
      <c r="IF9" s="2"/>
      <c r="IG9" s="2"/>
      <c r="IH9" s="2"/>
      <c r="II9" s="2"/>
      <c r="IJ9" s="20" t="s">
        <v>73</v>
      </c>
      <c r="IK9" s="2"/>
      <c r="IL9" s="2"/>
      <c r="IM9" s="2"/>
      <c r="IN9" s="2"/>
      <c r="IO9" s="2"/>
      <c r="IP9" s="20" t="s">
        <v>225</v>
      </c>
      <c r="IQ9" s="2"/>
      <c r="IR9" s="2"/>
      <c r="IS9" s="2"/>
      <c r="IT9" s="2"/>
      <c r="IU9" s="2"/>
      <c r="IV9" s="2"/>
      <c r="IW9" s="2"/>
      <c r="IX9" s="20" t="s">
        <v>73</v>
      </c>
      <c r="IY9" s="2"/>
      <c r="IZ9" s="2"/>
      <c r="JA9" s="2"/>
      <c r="JB9" s="20" t="s">
        <v>73</v>
      </c>
      <c r="JC9" s="2"/>
      <c r="JD9" s="2"/>
      <c r="JE9" s="2"/>
      <c r="JF9" s="20" t="s">
        <v>73</v>
      </c>
      <c r="JG9" s="2"/>
      <c r="JH9" s="2"/>
      <c r="JI9" s="2"/>
      <c r="JJ9" s="2"/>
      <c r="JK9" s="2"/>
      <c r="JL9" s="2"/>
      <c r="JM9" s="2"/>
      <c r="JN9" s="2"/>
      <c r="JO9" s="2"/>
      <c r="JP9" s="2"/>
      <c r="JQ9" s="2"/>
      <c r="JR9" s="2"/>
      <c r="JS9" s="2"/>
      <c r="JT9" s="2"/>
      <c r="JU9" s="2"/>
      <c r="JV9" s="2"/>
      <c r="JW9" s="2"/>
      <c r="JX9" s="2"/>
      <c r="JY9" s="2"/>
      <c r="JZ9" s="2"/>
      <c r="KA9" s="2"/>
      <c r="KB9" s="2"/>
      <c r="KC9" s="2"/>
      <c r="KD9" s="2"/>
      <c r="KE9" s="2"/>
      <c r="KF9" s="20" t="s">
        <v>73</v>
      </c>
      <c r="KG9" s="2"/>
      <c r="KH9" s="20" t="s">
        <v>330</v>
      </c>
      <c r="KI9" s="2"/>
      <c r="KJ9" s="20" t="s">
        <v>331</v>
      </c>
      <c r="KK9" s="2"/>
      <c r="KL9" s="1"/>
      <c r="KM9" s="1"/>
    </row>
    <row r="10" spans="1:299" ht="60" customHeight="1" x14ac:dyDescent="0.25">
      <c r="A10" s="5" t="str">
        <f t="shared" si="1"/>
        <v>KhanS, et al, (2026), Medicine in Omics</v>
      </c>
      <c r="B10" s="3" t="str">
        <f t="shared" si="2"/>
        <v>Design of a novel multi-epitope-based vaccine against Bundibugyo Ebolavirus using computational approach</v>
      </c>
      <c r="C10" s="4" t="str">
        <f t="shared" si="3"/>
        <v>Primary - article, Experimental, Peer-reviewed publication</v>
      </c>
      <c r="D10" s="4" t="str">
        <f t="shared" si="4"/>
        <v>Bundibugyo</v>
      </c>
      <c r="E10" s="4" t="str">
        <f t="shared" si="5"/>
        <v>No</v>
      </c>
      <c r="F10" s="4" t="str">
        <f t="shared" si="6"/>
        <v>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v>
      </c>
      <c r="G10" s="4" t="str">
        <f t="shared" si="7"/>
        <v>Vaccine development</v>
      </c>
      <c r="H10" s="4" t="str">
        <f t="shared" si="8"/>
        <v/>
      </c>
      <c r="I10" s="4" t="str">
        <f t="shared" si="9"/>
        <v/>
      </c>
      <c r="J10" s="5" t="str">
        <f t="shared" si="10"/>
        <v>VACCINE DEVELOPMEMT:
A  multi-epitope vaccine developed against Bundibugyo  demonstrates promising immunogenic potential against BEBOV.  Experimental validation is required to confirm efficacy and safety, and further studies should focus on optimization and clinical evaluation for potential outbreak prevention.</v>
      </c>
      <c r="K10" s="5" t="str">
        <f t="shared" si="11"/>
        <v>T-cell (CTL and HTL) and linear B-cell epitopes from spike glycoprotein and nucleoprotein were identified and screened for antigenicity (VaxiJen score: 0.6488), allergenicity, and immunogenicity. Selected epitopes were combined into a vaccine construct with beta-defensin as an adjuvant. The vaccine exhibited favorable physicochemical properties and solubility (0.863482). Molecular docking and dynamics simulations revealed strong binding to TLR-3 (docking score: 354.13 kcal/mol). Codon optimization and in silico cloning suggested efficient expression in Escherichia coli.</v>
      </c>
      <c r="N10" s="2" t="str">
        <f t="shared" si="12"/>
        <v>https://doi.org/10.1016/j.meomic.2025.100050</v>
      </c>
      <c r="O10" s="20">
        <v>10</v>
      </c>
      <c r="P10" s="20" t="s">
        <v>332</v>
      </c>
      <c r="Q10" s="20" t="s">
        <v>333</v>
      </c>
      <c r="R10" s="20" t="s">
        <v>334</v>
      </c>
      <c r="S10" s="20" t="s">
        <v>335</v>
      </c>
      <c r="T10" s="20" t="s">
        <v>336</v>
      </c>
      <c r="U10" s="2"/>
      <c r="V10" s="20" t="s">
        <v>267</v>
      </c>
      <c r="W10" s="2"/>
      <c r="X10" s="20" t="s">
        <v>337</v>
      </c>
      <c r="Y10" s="2"/>
      <c r="Z10" s="20" t="s">
        <v>21</v>
      </c>
      <c r="AA10" s="2"/>
      <c r="AB10" s="2"/>
      <c r="AC10" s="2"/>
      <c r="AD10" s="20" t="s">
        <v>269</v>
      </c>
      <c r="AE10" s="2"/>
      <c r="AF10" s="20" t="s">
        <v>270</v>
      </c>
      <c r="AG10" s="2"/>
      <c r="AH10" s="2"/>
      <c r="AI10" s="20" t="s">
        <v>271</v>
      </c>
      <c r="AJ10" s="2"/>
      <c r="AK10" s="20" t="s">
        <v>272</v>
      </c>
      <c r="AL10" s="2"/>
      <c r="AM10" s="2"/>
      <c r="AN10" s="2"/>
      <c r="AO10" s="2"/>
      <c r="AP10" s="20" t="s">
        <v>338</v>
      </c>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0" t="s">
        <v>73</v>
      </c>
      <c r="CC10" s="2"/>
      <c r="CD10" s="2"/>
      <c r="CE10" s="2"/>
      <c r="CF10" s="2"/>
      <c r="CG10" s="2"/>
      <c r="CH10" s="20" t="s">
        <v>79</v>
      </c>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0" t="s">
        <v>73</v>
      </c>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0" t="s">
        <v>73</v>
      </c>
      <c r="EW10" s="2"/>
      <c r="EX10" s="2"/>
      <c r="EY10" s="2"/>
      <c r="EZ10" s="2"/>
      <c r="FA10" s="2"/>
      <c r="FB10" s="2"/>
      <c r="FC10" s="2"/>
      <c r="FD10" s="2"/>
      <c r="FE10" s="2"/>
      <c r="FF10" s="2"/>
      <c r="FG10" s="2"/>
      <c r="FH10" s="2"/>
      <c r="FI10" s="2"/>
      <c r="FJ10" s="2"/>
      <c r="FK10" s="2"/>
      <c r="FL10" s="2"/>
      <c r="FM10" s="2"/>
      <c r="FN10" s="2"/>
      <c r="FO10" s="2"/>
      <c r="FP10" s="2"/>
      <c r="FQ10" s="2"/>
      <c r="FR10" s="20" t="s">
        <v>73</v>
      </c>
      <c r="FS10" s="2"/>
      <c r="FT10" s="2"/>
      <c r="FU10" s="2"/>
      <c r="FV10" s="2"/>
      <c r="FW10" s="2"/>
      <c r="FX10" s="2"/>
      <c r="FY10" s="2"/>
      <c r="FZ10" s="2"/>
      <c r="GA10" s="2"/>
      <c r="GB10" s="2"/>
      <c r="GC10" s="2"/>
      <c r="GD10" s="2"/>
      <c r="GE10" s="2"/>
      <c r="GF10" s="20" t="s">
        <v>73</v>
      </c>
      <c r="GG10" s="2"/>
      <c r="GH10" s="2"/>
      <c r="GI10" s="2"/>
      <c r="GJ10" s="2"/>
      <c r="GK10" s="2"/>
      <c r="GL10" s="2"/>
      <c r="GM10" s="2"/>
      <c r="GN10" s="20" t="s">
        <v>179</v>
      </c>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0" t="s">
        <v>73</v>
      </c>
      <c r="HS10" s="2"/>
      <c r="HT10" s="2"/>
      <c r="HU10" s="2"/>
      <c r="HV10" s="2"/>
      <c r="HW10" s="2"/>
      <c r="HX10" s="2"/>
      <c r="HY10" s="2"/>
      <c r="HZ10" s="2"/>
      <c r="IA10" s="2"/>
      <c r="IB10" s="20" t="s">
        <v>73</v>
      </c>
      <c r="IC10" s="2"/>
      <c r="ID10" s="2"/>
      <c r="IE10" s="2"/>
      <c r="IF10" s="2"/>
      <c r="IG10" s="2"/>
      <c r="IH10" s="2"/>
      <c r="II10" s="2"/>
      <c r="IJ10" s="20" t="s">
        <v>73</v>
      </c>
      <c r="IK10" s="2"/>
      <c r="IL10" s="2"/>
      <c r="IM10" s="2"/>
      <c r="IN10" s="2"/>
      <c r="IO10" s="2"/>
      <c r="IP10" s="2"/>
      <c r="IQ10" s="2"/>
      <c r="IR10" s="2"/>
      <c r="IS10" s="2"/>
      <c r="IT10" s="20" t="s">
        <v>73</v>
      </c>
      <c r="IU10" s="2"/>
      <c r="IV10" s="2"/>
      <c r="IW10" s="2"/>
      <c r="IX10" s="20" t="s">
        <v>73</v>
      </c>
      <c r="IY10" s="2"/>
      <c r="IZ10" s="2"/>
      <c r="JA10" s="2"/>
      <c r="JB10" s="20" t="s">
        <v>73</v>
      </c>
      <c r="JC10" s="2"/>
      <c r="JD10" s="2"/>
      <c r="JE10" s="2"/>
      <c r="JF10" s="20" t="s">
        <v>73</v>
      </c>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0" t="s">
        <v>73</v>
      </c>
      <c r="KG10" s="2"/>
      <c r="KH10" s="20" t="s">
        <v>339</v>
      </c>
      <c r="KI10" s="2"/>
      <c r="KJ10" s="20" t="s">
        <v>340</v>
      </c>
      <c r="KK10" s="2"/>
      <c r="KL10" s="1"/>
      <c r="KM10" s="1"/>
    </row>
    <row r="11" spans="1:299" ht="60" customHeight="1" x14ac:dyDescent="0.25">
      <c r="A11" s="5" t="str">
        <f t="shared" si="1"/>
        <v>Lupascu, et al, (2026), Pharmaceutics</v>
      </c>
      <c r="B11" s="3" t="str">
        <f t="shared" si="2"/>
        <v>Achievements and Challenges in Therapy and Vaccines Development of Viral Hemorrhagic Fevers: An Up-to-Date Review</v>
      </c>
      <c r="C11" s="4" t="str">
        <f t="shared" si="3"/>
        <v>Lit review, Peer-reviewed publication</v>
      </c>
      <c r="D11" s="4" t="str">
        <f t="shared" si="4"/>
        <v>Bundibugyo</v>
      </c>
      <c r="E11" s="4" t="str">
        <f t="shared" si="5"/>
        <v>No</v>
      </c>
      <c r="F11" s="4" t="str">
        <f t="shared" si="6"/>
        <v/>
      </c>
      <c r="G11" s="4" t="str">
        <f t="shared" si="7"/>
        <v/>
      </c>
      <c r="H11" s="4" t="str">
        <f t="shared" si="8"/>
        <v/>
      </c>
      <c r="I11" s="4" t="str">
        <f t="shared" si="9"/>
        <v/>
      </c>
      <c r="J11" s="5" t="str">
        <f t="shared" si="10"/>
        <v/>
      </c>
      <c r="K11" s="5" t="str">
        <f t="shared" si="11"/>
        <v/>
      </c>
      <c r="N11" s="2" t="str">
        <f t="shared" si="12"/>
        <v>https://doi.org/10.3390/pharmaceutics18040426</v>
      </c>
      <c r="O11" s="20">
        <v>13</v>
      </c>
      <c r="P11" s="20" t="s">
        <v>341</v>
      </c>
      <c r="Q11" s="20" t="s">
        <v>342</v>
      </c>
      <c r="R11" s="20" t="s">
        <v>343</v>
      </c>
      <c r="S11" s="20" t="s">
        <v>344</v>
      </c>
      <c r="T11" s="20" t="s">
        <v>266</v>
      </c>
      <c r="U11" s="2"/>
      <c r="V11" s="20">
        <v>2</v>
      </c>
      <c r="W11" s="2"/>
      <c r="X11" s="20" t="s">
        <v>345</v>
      </c>
      <c r="Y11" s="2"/>
      <c r="Z11" s="20" t="s">
        <v>21</v>
      </c>
      <c r="AA11" s="2"/>
      <c r="AB11" s="2"/>
      <c r="AC11" s="2"/>
      <c r="AD11" s="20" t="s">
        <v>269</v>
      </c>
      <c r="AE11" s="2"/>
      <c r="AF11" s="20" t="s">
        <v>270</v>
      </c>
      <c r="AG11" s="2"/>
      <c r="AH11" s="2"/>
      <c r="AI11" s="20" t="s">
        <v>271</v>
      </c>
      <c r="AJ11" s="2"/>
      <c r="AK11" s="20" t="s">
        <v>346</v>
      </c>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1"/>
      <c r="KM11" s="1"/>
    </row>
    <row r="12" spans="1:299" ht="60" customHeight="1" x14ac:dyDescent="0.25">
      <c r="A12" s="5" t="str">
        <f t="shared" si="1"/>
        <v>Chung, et al, (2026), medRxiv</v>
      </c>
      <c r="B12" s="3" t="str">
        <f t="shared" si="2"/>
        <v>Filovirus Evidence Maps: A community resource to identify and curate the published evidence on immunity and vaccination for BDBV, EBOV, MARV, and SUDV</v>
      </c>
      <c r="C12" s="4" t="str">
        <f t="shared" si="3"/>
        <v>Other evidence synthesis, Preprint</v>
      </c>
      <c r="D12" s="4" t="str">
        <f t="shared" si="4"/>
        <v>Bundibugyo</v>
      </c>
      <c r="E12" s="4" t="str">
        <f t="shared" si="5"/>
        <v>Yes</v>
      </c>
      <c r="F12" s="4" t="str">
        <f t="shared" si="6"/>
        <v>Developed evidence maps of existing filovirus publications on immunity and vaccination to enable further analysis and synthesis. 49 Bundibugyo (BDBV), 198 Marburg (MARV), 149 Sudan (SUDV) and 850 Ebola (EBOV) publications were included on each evidence map.</v>
      </c>
      <c r="G12" s="4" t="str">
        <f t="shared" si="7"/>
        <v>Infection immunity measures (Ab, titre, cytokines); Vaccine immunity measures (Ab, titre, cytokines); Adverse effects</v>
      </c>
      <c r="H12" s="4" t="str">
        <f t="shared" si="8"/>
        <v>Human - General population, Animal - model of disease</v>
      </c>
      <c r="I12" s="4" t="str">
        <f t="shared" si="9"/>
        <v/>
      </c>
      <c r="J12" s="5" t="str">
        <f t="shared" si="10"/>
        <v>IMMUNITY: Developed evidence maps of existing filovirus publications on immunity and vaccination to enable further analysis and synthesis. 49 Bundibugyo (BDBV), 198 Marburg (MARV), 149 Sudan (SUDV) and 850 Ebola (EBOV) publications were included on each evidence map. This provides a transparent and searchable framework to rapidly identify existing evidence and support future vaccine and immunity research for filoviruses.
OTHER VACCINE STUDIES - Adverse events: Publications measuring vaccine safety or other outcomes for each filovirus was captured.</v>
      </c>
      <c r="K12" s="5" t="str">
        <f t="shared" si="11"/>
        <v>Researchers systematically searched PubMed, Embase, and Europe PMC (with updates through 2025–2026) to identify studies on immunology, clinical outcomes, infection responses, and vaccine safety for Bundibugyo virus, Marburg virus, Sudan virus, and Ebola virus. They then applied predefined inclusion and exclusion criteria to screen and categorize eligible studies, organizing the final set into structured “evidence maps” that summarize and classify the existing filovirus literature.</v>
      </c>
      <c r="N12" s="2" t="str">
        <f t="shared" si="12"/>
        <v>https://doi.org/10.64898/2026.05.22.26353826</v>
      </c>
      <c r="O12" s="20">
        <v>15</v>
      </c>
      <c r="P12" s="20" t="s">
        <v>347</v>
      </c>
      <c r="Q12" s="20" t="s">
        <v>348</v>
      </c>
      <c r="R12" s="20" t="s">
        <v>349</v>
      </c>
      <c r="S12" s="20" t="s">
        <v>350</v>
      </c>
      <c r="T12" s="20" t="s">
        <v>312</v>
      </c>
      <c r="U12" s="2"/>
      <c r="V12" s="20" t="s">
        <v>288</v>
      </c>
      <c r="W12" s="2"/>
      <c r="X12" s="20" t="s">
        <v>351</v>
      </c>
      <c r="Y12" s="2"/>
      <c r="Z12" s="20" t="s">
        <v>21</v>
      </c>
      <c r="AA12" s="2"/>
      <c r="AB12" s="2"/>
      <c r="AC12" s="2"/>
      <c r="AD12" s="20" t="s">
        <v>352</v>
      </c>
      <c r="AE12" s="2"/>
      <c r="AF12" s="20" t="s">
        <v>270</v>
      </c>
      <c r="AG12" s="2"/>
      <c r="AH12" s="2"/>
      <c r="AI12" s="20" t="s">
        <v>353</v>
      </c>
      <c r="AJ12" s="2"/>
      <c r="AK12" s="20" t="s">
        <v>354</v>
      </c>
      <c r="AL12" s="2"/>
      <c r="AM12" s="2"/>
      <c r="AN12" s="2"/>
      <c r="AO12" s="2"/>
      <c r="AP12" s="20" t="s">
        <v>355</v>
      </c>
      <c r="AQ12" s="2"/>
      <c r="AR12" s="20" t="s">
        <v>37</v>
      </c>
      <c r="AS12" s="2"/>
      <c r="AT12" s="2"/>
      <c r="AU12" s="2"/>
      <c r="AV12" s="2"/>
      <c r="AW12" s="2"/>
      <c r="AX12" s="2"/>
      <c r="AY12" s="2"/>
      <c r="AZ12" s="2"/>
      <c r="BA12" s="2"/>
      <c r="BB12" s="2"/>
      <c r="BC12" s="2"/>
      <c r="BD12" s="2"/>
      <c r="BE12" s="2"/>
      <c r="BF12" s="2"/>
      <c r="BG12" s="2"/>
      <c r="BH12" s="2"/>
      <c r="BI12" s="2"/>
      <c r="BJ12" s="2"/>
      <c r="BK12" s="2"/>
      <c r="BL12" s="2"/>
      <c r="BM12" s="2"/>
      <c r="BN12" s="20" t="s">
        <v>59</v>
      </c>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0" t="s">
        <v>73</v>
      </c>
      <c r="DA12" s="2"/>
      <c r="DB12" s="2"/>
      <c r="DC12" s="2"/>
      <c r="DD12" s="2"/>
      <c r="DE12" s="2"/>
      <c r="DF12" s="2"/>
      <c r="DG12" s="2"/>
      <c r="DH12" s="2"/>
      <c r="DI12" s="2"/>
      <c r="DJ12" s="2"/>
      <c r="DK12" s="2"/>
      <c r="DL12" s="2"/>
      <c r="DM12" s="2"/>
      <c r="DN12" s="2"/>
      <c r="DO12" s="2"/>
      <c r="DP12" s="2"/>
      <c r="DQ12" s="2"/>
      <c r="DR12" s="2"/>
      <c r="DS12" s="2"/>
      <c r="DT12" s="2"/>
      <c r="DU12" s="2"/>
      <c r="DV12" s="20" t="s">
        <v>73</v>
      </c>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0" t="s">
        <v>73</v>
      </c>
      <c r="EW12" s="2"/>
      <c r="EX12" s="2"/>
      <c r="EY12" s="2"/>
      <c r="EZ12" s="2"/>
      <c r="FA12" s="2"/>
      <c r="FB12" s="2"/>
      <c r="FC12" s="2"/>
      <c r="FD12" s="2"/>
      <c r="FE12" s="2"/>
      <c r="FF12" s="2"/>
      <c r="FG12" s="2"/>
      <c r="FH12" s="2"/>
      <c r="FI12" s="2"/>
      <c r="FJ12" s="2"/>
      <c r="FK12" s="2"/>
      <c r="FL12" s="2"/>
      <c r="FM12" s="2"/>
      <c r="FN12" s="2"/>
      <c r="FO12" s="2"/>
      <c r="FP12" s="2"/>
      <c r="FQ12" s="2"/>
      <c r="FR12" s="20" t="s">
        <v>73</v>
      </c>
      <c r="FS12" s="2"/>
      <c r="FT12" s="2"/>
      <c r="FU12" s="2"/>
      <c r="FV12" s="2"/>
      <c r="FW12" s="2"/>
      <c r="FX12" s="2"/>
      <c r="FY12" s="2"/>
      <c r="FZ12" s="20" t="s">
        <v>167</v>
      </c>
      <c r="GA12" s="2"/>
      <c r="GB12" s="20" t="s">
        <v>169</v>
      </c>
      <c r="GC12" s="2"/>
      <c r="GD12" s="2"/>
      <c r="GE12" s="2"/>
      <c r="GF12" s="2"/>
      <c r="GG12" s="2"/>
      <c r="GH12" s="2"/>
      <c r="GI12" s="2"/>
      <c r="GJ12" s="2"/>
      <c r="GK12" s="2"/>
      <c r="GL12" s="20" t="s">
        <v>177</v>
      </c>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0" t="s">
        <v>73</v>
      </c>
      <c r="HS12" s="2"/>
      <c r="HT12" s="2"/>
      <c r="HU12" s="2"/>
      <c r="HV12" s="2"/>
      <c r="HW12" s="2"/>
      <c r="HX12" s="2"/>
      <c r="HY12" s="2"/>
      <c r="HZ12" s="2"/>
      <c r="IA12" s="2"/>
      <c r="IB12" s="20" t="s">
        <v>73</v>
      </c>
      <c r="IC12" s="2"/>
      <c r="ID12" s="2"/>
      <c r="IE12" s="2"/>
      <c r="IF12" s="2"/>
      <c r="IG12" s="2"/>
      <c r="IH12" s="2"/>
      <c r="II12" s="2"/>
      <c r="IJ12" s="20" t="s">
        <v>73</v>
      </c>
      <c r="IK12" s="2"/>
      <c r="IL12" s="2"/>
      <c r="IM12" s="2"/>
      <c r="IN12" s="2"/>
      <c r="IO12" s="2"/>
      <c r="IP12" s="2"/>
      <c r="IQ12" s="2"/>
      <c r="IR12" s="2"/>
      <c r="IS12" s="2"/>
      <c r="IT12" s="20" t="s">
        <v>73</v>
      </c>
      <c r="IU12" s="2"/>
      <c r="IV12" s="2"/>
      <c r="IW12" s="2"/>
      <c r="IX12" s="20" t="s">
        <v>73</v>
      </c>
      <c r="IY12" s="2"/>
      <c r="IZ12" s="2"/>
      <c r="JA12" s="2"/>
      <c r="JB12" s="20" t="s">
        <v>73</v>
      </c>
      <c r="JC12" s="2"/>
      <c r="JD12" s="2"/>
      <c r="JE12" s="2"/>
      <c r="JF12" s="20" t="s">
        <v>73</v>
      </c>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0" t="s">
        <v>73</v>
      </c>
      <c r="KG12" s="2"/>
      <c r="KH12" s="20" t="s">
        <v>356</v>
      </c>
      <c r="KI12" s="2"/>
      <c r="KJ12" s="20" t="s">
        <v>357</v>
      </c>
      <c r="KK12" s="2"/>
      <c r="KL12" s="1"/>
      <c r="KM12" s="1"/>
    </row>
    <row r="13" spans="1:299" ht="60" customHeight="1" x14ac:dyDescent="0.25">
      <c r="A13" s="5" t="str">
        <f t="shared" si="1"/>
        <v xml:space="preserve">, (2026) </v>
      </c>
      <c r="B13" s="3" t="str">
        <f t="shared" si="2"/>
        <v>A novel and efficient feature extraction algorithm using kmer-derived mutation signal</v>
      </c>
      <c r="C13" s="4" t="str">
        <f t="shared" si="3"/>
        <v>Primary - article, Experimental, Peer-reviewed publication</v>
      </c>
      <c r="D13" s="4" t="str">
        <f t="shared" si="4"/>
        <v>Bundibugyo</v>
      </c>
      <c r="E13" s="4" t="str">
        <f t="shared" si="5"/>
        <v>No</v>
      </c>
      <c r="F13" s="4" t="str">
        <f t="shared" si="6"/>
        <v>Identified a specific k-mer “anchor” sequence that appears exclusively in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v>
      </c>
      <c r="G13" s="4" t="str">
        <f t="shared" si="7"/>
        <v>Pathogen mutations</v>
      </c>
      <c r="H13" s="4" t="str">
        <f t="shared" si="8"/>
        <v/>
      </c>
      <c r="I13" s="4" t="str">
        <f t="shared" si="9"/>
        <v/>
      </c>
      <c r="J13" s="5" t="str">
        <f t="shared" si="10"/>
        <v>MUTATIONS:Identified a specific k-mer “anchor” sequence (notably CGCG) that appears exclusively in Bundibugyo (BDBV) genomes, suggesting it may represent a mutation pattern unique to this virus type. This computational feature extraction method used these “anchors” to distinguish viral types and support phylogenetic analysis, showing that BDBV shares some mutation pattern similarities with other filoviruses while also possessing distinctive genomic signatures.</v>
      </c>
      <c r="K13" s="5" t="str">
        <f t="shared" si="11"/>
        <v>The study developed a computational k-mer–based feature extraction algorithm that identifies biologically meaningful “anchor” sequences by analyzing reverse, complementary, and reverse-complementary k-mers to model mutation patterns across viral genomes, including Bundibugyo virus. It then quantified these anchors using a weighted interval entropy measure and evaluated the method.</v>
      </c>
      <c r="N13" s="2" t="str">
        <f t="shared" si="12"/>
        <v>https://peerj.com/articles/20940/</v>
      </c>
      <c r="O13" s="20">
        <v>20</v>
      </c>
      <c r="P13" s="20" t="s">
        <v>1358</v>
      </c>
      <c r="Q13" s="20" t="s">
        <v>358</v>
      </c>
      <c r="R13" s="2"/>
      <c r="S13" s="20" t="s">
        <v>359</v>
      </c>
      <c r="T13" s="20" t="s">
        <v>287</v>
      </c>
      <c r="U13" s="2"/>
      <c r="V13" s="20" t="s">
        <v>288</v>
      </c>
      <c r="W13" s="2"/>
      <c r="X13" s="20" t="s">
        <v>360</v>
      </c>
      <c r="Y13" s="2"/>
      <c r="Z13" s="20" t="s">
        <v>21</v>
      </c>
      <c r="AA13" s="2"/>
      <c r="AB13" s="2"/>
      <c r="AC13" s="2"/>
      <c r="AD13" s="20" t="s">
        <v>269</v>
      </c>
      <c r="AE13" s="2"/>
      <c r="AF13" s="20" t="s">
        <v>270</v>
      </c>
      <c r="AG13" s="2"/>
      <c r="AH13" s="2"/>
      <c r="AI13" s="20" t="s">
        <v>271</v>
      </c>
      <c r="AJ13" s="2"/>
      <c r="AK13" s="20" t="s">
        <v>272</v>
      </c>
      <c r="AL13" s="2"/>
      <c r="AM13" s="2"/>
      <c r="AN13" s="2"/>
      <c r="AO13" s="2"/>
      <c r="AP13" s="20" t="s">
        <v>361</v>
      </c>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0" t="s">
        <v>73</v>
      </c>
      <c r="CC13" s="2"/>
      <c r="CD13" s="2"/>
      <c r="CE13" s="2"/>
      <c r="CF13" s="2"/>
      <c r="CG13" s="2"/>
      <c r="CH13" s="20" t="s">
        <v>79</v>
      </c>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0" t="s">
        <v>73</v>
      </c>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0" t="s">
        <v>73</v>
      </c>
      <c r="EW13" s="2"/>
      <c r="EX13" s="2"/>
      <c r="EY13" s="2"/>
      <c r="EZ13" s="2"/>
      <c r="FA13" s="2"/>
      <c r="FB13" s="2"/>
      <c r="FC13" s="2"/>
      <c r="FD13" s="2"/>
      <c r="FE13" s="2"/>
      <c r="FF13" s="2"/>
      <c r="FG13" s="2"/>
      <c r="FH13" s="2"/>
      <c r="FI13" s="2"/>
      <c r="FJ13" s="2"/>
      <c r="FK13" s="2"/>
      <c r="FL13" s="2"/>
      <c r="FM13" s="2"/>
      <c r="FN13" s="2"/>
      <c r="FO13" s="2"/>
      <c r="FP13" s="2"/>
      <c r="FQ13" s="2"/>
      <c r="FR13" s="20" t="s">
        <v>73</v>
      </c>
      <c r="FS13" s="2"/>
      <c r="FT13" s="2"/>
      <c r="FU13" s="2"/>
      <c r="FV13" s="2"/>
      <c r="FW13" s="2"/>
      <c r="FX13" s="2"/>
      <c r="FY13" s="2"/>
      <c r="FZ13" s="2"/>
      <c r="GA13" s="2"/>
      <c r="GB13" s="2"/>
      <c r="GC13" s="2"/>
      <c r="GD13" s="2"/>
      <c r="GE13" s="2"/>
      <c r="GF13" s="20" t="s">
        <v>73</v>
      </c>
      <c r="GG13" s="2"/>
      <c r="GH13" s="2"/>
      <c r="GI13" s="2"/>
      <c r="GJ13" s="2"/>
      <c r="GK13" s="2"/>
      <c r="GL13" s="2"/>
      <c r="GM13" s="2"/>
      <c r="GN13" s="2"/>
      <c r="GO13" s="2"/>
      <c r="GP13" s="20" t="s">
        <v>73</v>
      </c>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0" t="s">
        <v>73</v>
      </c>
      <c r="HS13" s="2"/>
      <c r="HT13" s="2"/>
      <c r="HU13" s="2"/>
      <c r="HV13" s="2"/>
      <c r="HW13" s="2"/>
      <c r="HX13" s="2"/>
      <c r="HY13" s="2"/>
      <c r="HZ13" s="2"/>
      <c r="IA13" s="2"/>
      <c r="IB13" s="20" t="s">
        <v>73</v>
      </c>
      <c r="IC13" s="2"/>
      <c r="ID13" s="2"/>
      <c r="IE13" s="2"/>
      <c r="IF13" s="2"/>
      <c r="IG13" s="2"/>
      <c r="IH13" s="2"/>
      <c r="II13" s="2"/>
      <c r="IJ13" s="20" t="s">
        <v>73</v>
      </c>
      <c r="IK13" s="2"/>
      <c r="IL13" s="20" t="s">
        <v>221</v>
      </c>
      <c r="IM13" s="2"/>
      <c r="IN13" s="2"/>
      <c r="IO13" s="2"/>
      <c r="IP13" s="2"/>
      <c r="IQ13" s="2"/>
      <c r="IR13" s="2"/>
      <c r="IS13" s="2"/>
      <c r="IT13" s="2"/>
      <c r="IU13" s="2"/>
      <c r="IV13" s="2"/>
      <c r="IW13" s="2"/>
      <c r="IX13" s="20" t="s">
        <v>73</v>
      </c>
      <c r="IY13" s="2"/>
      <c r="IZ13" s="2"/>
      <c r="JA13" s="2"/>
      <c r="JB13" s="20" t="s">
        <v>73</v>
      </c>
      <c r="JC13" s="2"/>
      <c r="JD13" s="2"/>
      <c r="JE13" s="2"/>
      <c r="JF13" s="20" t="s">
        <v>73</v>
      </c>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0" t="s">
        <v>73</v>
      </c>
      <c r="KG13" s="2"/>
      <c r="KH13" s="20" t="s">
        <v>362</v>
      </c>
      <c r="KI13" s="2"/>
      <c r="KJ13" s="20" t="s">
        <v>363</v>
      </c>
      <c r="KK13" s="2"/>
      <c r="KL13" s="1"/>
      <c r="KM13" s="1"/>
    </row>
    <row r="14" spans="1:299" ht="60" customHeight="1" x14ac:dyDescent="0.25">
      <c r="A14" s="5" t="str">
        <f t="shared" si="1"/>
        <v xml:space="preserve">Grewe, et al, (2026) </v>
      </c>
      <c r="B14" s="3" t="str">
        <f t="shared" si="2"/>
        <v>Sex Differences in Response to Viral Vector Vaccines-Implications for Future Vaccine Design</v>
      </c>
      <c r="C14" s="4" t="str">
        <f t="shared" si="3"/>
        <v>Lit review, Peer-reviewed publication</v>
      </c>
      <c r="D14" s="4" t="str">
        <f t="shared" si="4"/>
        <v>Bundibugyo</v>
      </c>
      <c r="E14" s="4" t="str">
        <f t="shared" si="5"/>
        <v>No</v>
      </c>
      <c r="F14" s="4" t="str">
        <f t="shared" si="6"/>
        <v/>
      </c>
      <c r="G14" s="4" t="str">
        <f t="shared" si="7"/>
        <v/>
      </c>
      <c r="H14" s="4" t="str">
        <f t="shared" si="8"/>
        <v/>
      </c>
      <c r="I14" s="4" t="str">
        <f t="shared" si="9"/>
        <v/>
      </c>
      <c r="J14" s="5" t="str">
        <f t="shared" si="10"/>
        <v/>
      </c>
      <c r="K14" s="5" t="str">
        <f t="shared" si="11"/>
        <v/>
      </c>
      <c r="N14" s="2" t="str">
        <f t="shared" si="12"/>
        <v>https://doi.org/10.1111/imr.70098</v>
      </c>
      <c r="O14" s="20">
        <v>29</v>
      </c>
      <c r="P14" s="20" t="s">
        <v>1359</v>
      </c>
      <c r="Q14" s="20" t="s">
        <v>364</v>
      </c>
      <c r="R14" s="20" t="s">
        <v>365</v>
      </c>
      <c r="S14" s="20" t="s">
        <v>366</v>
      </c>
      <c r="T14" s="20" t="s">
        <v>297</v>
      </c>
      <c r="U14" s="2"/>
      <c r="V14" s="20">
        <v>2</v>
      </c>
      <c r="W14" s="2"/>
      <c r="X14" s="20" t="s">
        <v>367</v>
      </c>
      <c r="Y14" s="2"/>
      <c r="Z14" s="20" t="s">
        <v>21</v>
      </c>
      <c r="AA14" s="2"/>
      <c r="AB14" s="2"/>
      <c r="AC14" s="2"/>
      <c r="AD14" s="20" t="s">
        <v>269</v>
      </c>
      <c r="AE14" s="2"/>
      <c r="AF14" s="20" t="s">
        <v>270</v>
      </c>
      <c r="AG14" s="2"/>
      <c r="AH14" s="2"/>
      <c r="AI14" s="20" t="s">
        <v>271</v>
      </c>
      <c r="AJ14" s="2"/>
      <c r="AK14" s="20" t="s">
        <v>346</v>
      </c>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1"/>
      <c r="KM14" s="1"/>
    </row>
    <row r="15" spans="1:299" ht="60" customHeight="1" x14ac:dyDescent="0.25">
      <c r="A15" s="5" t="str">
        <f t="shared" si="1"/>
        <v>Kim, et al, (2025), Advances in Virus Research</v>
      </c>
      <c r="B15" s="3" t="str">
        <f t="shared" si="2"/>
        <v>Swine model of Bundibugyo and Reston virus infection reveals a robust immune response following the infection: A multi-tissue immune profiling study</v>
      </c>
      <c r="C15" s="4" t="str">
        <f t="shared" si="3"/>
        <v>Primary - article, Experimental, Peer-reviewed publication</v>
      </c>
      <c r="D15" s="4" t="str">
        <f t="shared" si="4"/>
        <v>Bundibugyo</v>
      </c>
      <c r="E15" s="4" t="str">
        <f t="shared" si="5"/>
        <v>No</v>
      </c>
      <c r="F15" s="4" t="str">
        <f t="shared" si="6"/>
        <v>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v>
      </c>
      <c r="G15" s="4" t="str">
        <f t="shared" si="7"/>
        <v>Infection immunity measures (Ab, titre, cytokines)</v>
      </c>
      <c r="H15" s="4" t="str">
        <f t="shared" si="8"/>
        <v>Animal - model of disease</v>
      </c>
      <c r="I15" s="4" t="str">
        <f t="shared" si="9"/>
        <v/>
      </c>
      <c r="J15" s="5" t="str">
        <f t="shared" si="10"/>
        <v>INFECTION IMMUNITY - Measures of protective immunity (antibodies/titres/cytokines): Findings revealed no significant changes in infection- and inflammation-related cytokines  following Orthoebolavirus bundibugyoense and Orthoebolavirus restonens infections in pigs, but a strong adaptive immune response was observed in the lungs and tracheobronchial lymph nodes. Comparative analysis with a study in which non-human primates were experimentally infected with Orthoebolavirus bundibugyoense, where the virus is lethal, revealed molecular similarities in gene expression.</v>
      </c>
      <c r="K15" s="5" t="str">
        <f t="shared" si="11"/>
        <v>Using a time-course study design, collected tissue and blood samples from infected pigs to investigate the immunological changes following Orthoebolavirus bundibugyoense and Orthoebolavirus restonense infection, focusing on key immune gene expressions in blood, lung, and transbronchial lymph nodes</v>
      </c>
      <c r="N15" s="2" t="str">
        <f t="shared" si="12"/>
        <v>https://doi.org/10.1016/bs.aivir.2025.03.002</v>
      </c>
      <c r="O15" s="20">
        <v>36</v>
      </c>
      <c r="P15" s="20" t="s">
        <v>368</v>
      </c>
      <c r="Q15" s="20" t="s">
        <v>369</v>
      </c>
      <c r="R15" s="20" t="s">
        <v>370</v>
      </c>
      <c r="S15" s="20" t="s">
        <v>371</v>
      </c>
      <c r="T15" s="20" t="s">
        <v>287</v>
      </c>
      <c r="U15" s="2"/>
      <c r="V15" s="20" t="s">
        <v>288</v>
      </c>
      <c r="W15" s="2"/>
      <c r="X15" s="20" t="s">
        <v>372</v>
      </c>
      <c r="Y15" s="2"/>
      <c r="Z15" s="20" t="s">
        <v>21</v>
      </c>
      <c r="AA15" s="2"/>
      <c r="AB15" s="2"/>
      <c r="AC15" s="2"/>
      <c r="AD15" s="20" t="s">
        <v>269</v>
      </c>
      <c r="AE15" s="2"/>
      <c r="AF15" s="20" t="s">
        <v>270</v>
      </c>
      <c r="AG15" s="2"/>
      <c r="AH15" s="2"/>
      <c r="AI15" s="20" t="s">
        <v>271</v>
      </c>
      <c r="AJ15" s="2"/>
      <c r="AK15" s="20" t="s">
        <v>272</v>
      </c>
      <c r="AL15" s="2"/>
      <c r="AM15" s="2"/>
      <c r="AN15" s="2"/>
      <c r="AO15" s="2"/>
      <c r="AP15" s="20" t="s">
        <v>373</v>
      </c>
      <c r="AQ15" s="2"/>
      <c r="AR15" s="2"/>
      <c r="AS15" s="2"/>
      <c r="AT15" s="2"/>
      <c r="AU15" s="2"/>
      <c r="AV15" s="2"/>
      <c r="AW15" s="2"/>
      <c r="AX15" s="2"/>
      <c r="AY15" s="2"/>
      <c r="AZ15" s="2"/>
      <c r="BA15" s="2"/>
      <c r="BB15" s="2"/>
      <c r="BC15" s="2"/>
      <c r="BD15" s="2"/>
      <c r="BE15" s="2"/>
      <c r="BF15" s="2"/>
      <c r="BG15" s="2"/>
      <c r="BH15" s="2"/>
      <c r="BI15" s="2"/>
      <c r="BJ15" s="2"/>
      <c r="BK15" s="2"/>
      <c r="BL15" s="2"/>
      <c r="BM15" s="2"/>
      <c r="BN15" s="20" t="s">
        <v>59</v>
      </c>
      <c r="BO15" s="2"/>
      <c r="BP15" s="2"/>
      <c r="BQ15" s="2"/>
      <c r="BR15" s="2"/>
      <c r="BS15" s="2"/>
      <c r="BT15" s="2"/>
      <c r="BU15" s="2"/>
      <c r="BV15" s="2"/>
      <c r="BW15" s="2"/>
      <c r="BX15" s="2"/>
      <c r="BY15" s="2"/>
      <c r="BZ15" s="2"/>
      <c r="CA15" s="2"/>
      <c r="CB15" s="2"/>
      <c r="CC15" s="2"/>
      <c r="CD15" s="2"/>
      <c r="CE15" s="2"/>
      <c r="CF15" s="2"/>
      <c r="CG15" s="2"/>
      <c r="CH15" s="20" t="s">
        <v>79</v>
      </c>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0" t="s">
        <v>73</v>
      </c>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0" t="s">
        <v>73</v>
      </c>
      <c r="EW15" s="2"/>
      <c r="EX15" s="2"/>
      <c r="EY15" s="2"/>
      <c r="EZ15" s="2"/>
      <c r="FA15" s="2"/>
      <c r="FB15" s="2"/>
      <c r="FC15" s="2"/>
      <c r="FD15" s="2"/>
      <c r="FE15" s="2"/>
      <c r="FF15" s="2"/>
      <c r="FG15" s="2"/>
      <c r="FH15" s="2"/>
      <c r="FI15" s="2"/>
      <c r="FJ15" s="2"/>
      <c r="FK15" s="2"/>
      <c r="FL15" s="2"/>
      <c r="FM15" s="2"/>
      <c r="FN15" s="2"/>
      <c r="FO15" s="2"/>
      <c r="FP15" s="2"/>
      <c r="FQ15" s="2"/>
      <c r="FR15" s="20" t="s">
        <v>73</v>
      </c>
      <c r="FS15" s="2"/>
      <c r="FT15" s="2"/>
      <c r="FU15" s="2"/>
      <c r="FV15" s="2"/>
      <c r="FW15" s="2"/>
      <c r="FX15" s="2"/>
      <c r="FY15" s="2"/>
      <c r="FZ15" s="20" t="s">
        <v>167</v>
      </c>
      <c r="GA15" s="2"/>
      <c r="GB15" s="2"/>
      <c r="GC15" s="2"/>
      <c r="GD15" s="2"/>
      <c r="GE15" s="2"/>
      <c r="GF15" s="2"/>
      <c r="GG15" s="2"/>
      <c r="GH15" s="2"/>
      <c r="GI15" s="2"/>
      <c r="GJ15" s="2"/>
      <c r="GK15" s="2"/>
      <c r="GL15" s="2"/>
      <c r="GM15" s="2"/>
      <c r="GN15" s="2"/>
      <c r="GO15" s="2"/>
      <c r="GP15" s="20" t="s">
        <v>73</v>
      </c>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0" t="s">
        <v>73</v>
      </c>
      <c r="HS15" s="2"/>
      <c r="HT15" s="2"/>
      <c r="HU15" s="2"/>
      <c r="HV15" s="2"/>
      <c r="HW15" s="2"/>
      <c r="HX15" s="2"/>
      <c r="HY15" s="2"/>
      <c r="HZ15" s="2"/>
      <c r="IA15" s="2"/>
      <c r="IB15" s="20" t="s">
        <v>73</v>
      </c>
      <c r="IC15" s="2"/>
      <c r="ID15" s="2"/>
      <c r="IE15" s="2"/>
      <c r="IF15" s="2"/>
      <c r="IG15" s="2"/>
      <c r="IH15" s="2"/>
      <c r="II15" s="2"/>
      <c r="IJ15" s="20" t="s">
        <v>73</v>
      </c>
      <c r="IK15" s="2"/>
      <c r="IL15" s="2"/>
      <c r="IM15" s="2"/>
      <c r="IN15" s="2"/>
      <c r="IO15" s="2"/>
      <c r="IP15" s="2"/>
      <c r="IQ15" s="2"/>
      <c r="IR15" s="2"/>
      <c r="IS15" s="2"/>
      <c r="IT15" s="20" t="s">
        <v>73</v>
      </c>
      <c r="IU15" s="2"/>
      <c r="IV15" s="2"/>
      <c r="IW15" s="2"/>
      <c r="IX15" s="20" t="s">
        <v>73</v>
      </c>
      <c r="IY15" s="2"/>
      <c r="IZ15" s="2"/>
      <c r="JA15" s="2"/>
      <c r="JB15" s="20" t="s">
        <v>73</v>
      </c>
      <c r="JC15" s="2"/>
      <c r="JD15" s="2"/>
      <c r="JE15" s="2"/>
      <c r="JF15" s="20" t="s">
        <v>73</v>
      </c>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0" t="s">
        <v>73</v>
      </c>
      <c r="KG15" s="2"/>
      <c r="KH15" s="20" t="s">
        <v>374</v>
      </c>
      <c r="KI15" s="2"/>
      <c r="KJ15" s="20" t="s">
        <v>375</v>
      </c>
      <c r="KK15" s="2"/>
      <c r="KL15" s="1"/>
      <c r="KM15" s="1"/>
    </row>
    <row r="16" spans="1:299" ht="60" customHeight="1" x14ac:dyDescent="0.25">
      <c r="A16" s="5" t="str">
        <f t="shared" si="1"/>
        <v>Mdluli, et al, (2025), Science Translational Medicine</v>
      </c>
      <c r="B16" s="3" t="str">
        <f t="shared" si="2"/>
        <v>Ebola virus vaccination elicits Ebola virus–specific immune responses without substantial cross-reactivity to other filoviruses</v>
      </c>
      <c r="C16" s="4" t="str">
        <f t="shared" si="3"/>
        <v>Primary - article, Observational, Peer-reviewed publication</v>
      </c>
      <c r="D16" s="4" t="str">
        <f t="shared" si="4"/>
        <v>Bundibugyo</v>
      </c>
      <c r="E16" s="4" t="str">
        <f t="shared" si="5"/>
        <v>No</v>
      </c>
      <c r="F16" s="4" t="str">
        <f t="shared" si="6"/>
        <v>The study evaluated immune responses to the Janssen heterologous Ebola vaccine regimen (Ad26.ZEBOV prime and MVA-BN-Filo boost) and found it induced strong EBOV glycoprotein-specific antibody and CD4 T cell responses, including binding, Fc effector, and neutralizing activity. In contrast, analysis of survivors and contacts from a Bundibugyo virus outbreak showed minimal cross-reactivity to other filoviruses, indicating that broader multivalent vaccines are needed for cross-filovirus protection.</v>
      </c>
      <c r="G16" s="4" t="str">
        <f t="shared" si="7"/>
        <v>Infection immunity measures (Ab, titre, cytokines); Vaccine immunity measures (Ab, titre, cytokines)</v>
      </c>
      <c r="H16" s="4" t="str">
        <f t="shared" si="8"/>
        <v>Human - General population</v>
      </c>
      <c r="I16" s="4" t="str">
        <f t="shared" si="9"/>
        <v/>
      </c>
      <c r="J16" s="5" t="str">
        <f t="shared" si="10"/>
        <v>INFECTION IMMUNITY - Measures of protective immunity (antibodies/titres/cytokines): Analysis of survivors and contacts from a Bundibugyo virus outbreak showed minimal cross-reactivity to other filoviruses, indicating that broader multivalent vaccines are needed for cross-filovirus protection.
VACCINE IMMUNITY- Measures of protective immunity (antibodies/titres/cytokines): The study evaluated immune responses to the Janssen heterologous Ebola vaccine regimen (Ad26.ZEBOV prime and MVA-BN-Filo boost) and found it induced strong EBOV glycoprotein-specific antibody and CD4 T cell responses, including binding, Fc effector, and neutralizing activity.</v>
      </c>
      <c r="K16" s="5" t="str">
        <f t="shared" si="11"/>
        <v>Conducted a systems immunology analysis of antibody-mediated and cellular immune responses induced after  immunization with Janssen heterologous Ebola vaccine regimen (Ad26.ZEBOV prime and MVA-BN-Filo boost). Also investigated samples from 48 survivors and 121 contacts from the 2007 Ugandan Bundibugyo virus epidemic to study cross-reactivity to other filovirus proteins after infection and exposure.</v>
      </c>
      <c r="N16" s="2" t="str">
        <f t="shared" si="12"/>
        <v>https://doi.org/10.1126/scitranslmed.adq2496</v>
      </c>
      <c r="O16" s="20">
        <v>38</v>
      </c>
      <c r="P16" s="20" t="s">
        <v>376</v>
      </c>
      <c r="Q16" s="20" t="s">
        <v>377</v>
      </c>
      <c r="R16" s="20" t="s">
        <v>378</v>
      </c>
      <c r="S16" s="20" t="s">
        <v>379</v>
      </c>
      <c r="T16" s="20" t="s">
        <v>287</v>
      </c>
      <c r="U16" s="2"/>
      <c r="V16" s="20" t="s">
        <v>288</v>
      </c>
      <c r="W16" s="2"/>
      <c r="X16" s="20" t="s">
        <v>380</v>
      </c>
      <c r="Y16" s="2"/>
      <c r="Z16" s="20" t="s">
        <v>21</v>
      </c>
      <c r="AA16" s="2"/>
      <c r="AB16" s="2"/>
      <c r="AC16" s="2"/>
      <c r="AD16" s="20" t="s">
        <v>269</v>
      </c>
      <c r="AE16" s="2"/>
      <c r="AF16" s="20" t="s">
        <v>270</v>
      </c>
      <c r="AG16" s="2"/>
      <c r="AH16" s="2"/>
      <c r="AI16" s="20" t="s">
        <v>271</v>
      </c>
      <c r="AJ16" s="2"/>
      <c r="AK16" s="20" t="s">
        <v>272</v>
      </c>
      <c r="AL16" s="2"/>
      <c r="AM16" s="2"/>
      <c r="AN16" s="2"/>
      <c r="AO16" s="2"/>
      <c r="AP16" s="20" t="s">
        <v>381</v>
      </c>
      <c r="AQ16" s="2"/>
      <c r="AR16" s="20" t="s">
        <v>37</v>
      </c>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0" t="s">
        <v>75</v>
      </c>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0" t="s">
        <v>73</v>
      </c>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0" t="s">
        <v>73</v>
      </c>
      <c r="EW16" s="2"/>
      <c r="EX16" s="2"/>
      <c r="EY16" s="2"/>
      <c r="EZ16" s="2"/>
      <c r="FA16" s="2"/>
      <c r="FB16" s="2"/>
      <c r="FC16" s="2"/>
      <c r="FD16" s="2"/>
      <c r="FE16" s="2"/>
      <c r="FF16" s="2"/>
      <c r="FG16" s="2"/>
      <c r="FH16" s="2"/>
      <c r="FI16" s="2"/>
      <c r="FJ16" s="2"/>
      <c r="FK16" s="2"/>
      <c r="FL16" s="2"/>
      <c r="FM16" s="2"/>
      <c r="FN16" s="2"/>
      <c r="FO16" s="2"/>
      <c r="FP16" s="2"/>
      <c r="FQ16" s="2"/>
      <c r="FR16" s="20" t="s">
        <v>73</v>
      </c>
      <c r="FS16" s="2"/>
      <c r="FT16" s="2"/>
      <c r="FU16" s="2"/>
      <c r="FV16" s="2"/>
      <c r="FW16" s="2"/>
      <c r="FX16" s="2"/>
      <c r="FY16" s="2"/>
      <c r="FZ16" s="20" t="s">
        <v>167</v>
      </c>
      <c r="GA16" s="2"/>
      <c r="GB16" s="20" t="s">
        <v>169</v>
      </c>
      <c r="GC16" s="2"/>
      <c r="GD16" s="2"/>
      <c r="GE16" s="2"/>
      <c r="GF16" s="2"/>
      <c r="GG16" s="2"/>
      <c r="GH16" s="2"/>
      <c r="GI16" s="2"/>
      <c r="GJ16" s="2"/>
      <c r="GK16" s="2"/>
      <c r="GL16" s="2"/>
      <c r="GM16" s="2"/>
      <c r="GN16" s="2"/>
      <c r="GO16" s="2"/>
      <c r="GP16" s="20" t="s">
        <v>73</v>
      </c>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0" t="s">
        <v>73</v>
      </c>
      <c r="HS16" s="2"/>
      <c r="HT16" s="2"/>
      <c r="HU16" s="2"/>
      <c r="HV16" s="2"/>
      <c r="HW16" s="2"/>
      <c r="HX16" s="2"/>
      <c r="HY16" s="2"/>
      <c r="HZ16" s="2"/>
      <c r="IA16" s="2"/>
      <c r="IB16" s="20" t="s">
        <v>73</v>
      </c>
      <c r="IC16" s="2"/>
      <c r="ID16" s="2"/>
      <c r="IE16" s="2"/>
      <c r="IF16" s="2"/>
      <c r="IG16" s="2"/>
      <c r="IH16" s="2"/>
      <c r="II16" s="2"/>
      <c r="IJ16" s="20" t="s">
        <v>73</v>
      </c>
      <c r="IK16" s="2"/>
      <c r="IL16" s="2"/>
      <c r="IM16" s="2"/>
      <c r="IN16" s="2"/>
      <c r="IO16" s="2"/>
      <c r="IP16" s="2"/>
      <c r="IQ16" s="2"/>
      <c r="IR16" s="2"/>
      <c r="IS16" s="2"/>
      <c r="IT16" s="20" t="s">
        <v>73</v>
      </c>
      <c r="IU16" s="2"/>
      <c r="IV16" s="2"/>
      <c r="IW16" s="2"/>
      <c r="IX16" s="20" t="s">
        <v>73</v>
      </c>
      <c r="IY16" s="2"/>
      <c r="IZ16" s="2"/>
      <c r="JA16" s="2"/>
      <c r="JB16" s="20" t="s">
        <v>73</v>
      </c>
      <c r="JC16" s="2"/>
      <c r="JD16" s="2"/>
      <c r="JE16" s="2"/>
      <c r="JF16" s="20" t="s">
        <v>73</v>
      </c>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0" t="s">
        <v>73</v>
      </c>
      <c r="KG16" s="2"/>
      <c r="KH16" s="20" t="s">
        <v>382</v>
      </c>
      <c r="KI16" s="2"/>
      <c r="KJ16" s="20" t="s">
        <v>383</v>
      </c>
      <c r="KK16" s="2"/>
      <c r="KL16" s="1"/>
      <c r="KM16" s="1"/>
    </row>
    <row r="17" spans="1:299" ht="60" customHeight="1" x14ac:dyDescent="0.25">
      <c r="A17" s="5" t="str">
        <f t="shared" si="1"/>
        <v>Huang, et al, (2025), Autophagy</v>
      </c>
      <c r="B17" s="3" t="str">
        <f t="shared" si="2"/>
        <v>Dual roles of CXCR4 (C-X-C motif chemokine receptor 4) in promoting entry of ebolavirus and targeting excessive glycoprotein for reticulophagic degradation to facilitate viral fitness</v>
      </c>
      <c r="C17" s="4" t="str">
        <f t="shared" si="3"/>
        <v>Primary - article, Experimental, Peer-reviewed publication</v>
      </c>
      <c r="D17" s="4" t="str">
        <f t="shared" si="4"/>
        <v>Bundibugyo</v>
      </c>
      <c r="E17" s="4" t="str">
        <f t="shared" si="5"/>
        <v>No</v>
      </c>
      <c r="F17" s="4" t="str">
        <f t="shared" si="6"/>
        <v>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v>
      </c>
      <c r="G17" s="4" t="str">
        <f t="shared" si="7"/>
        <v>pathogen  Protein-inhibitor/binding interactions</v>
      </c>
      <c r="H17" s="4" t="str">
        <f t="shared" si="8"/>
        <v/>
      </c>
      <c r="I17" s="4" t="str">
        <f t="shared" si="9"/>
        <v/>
      </c>
      <c r="J17" s="5" t="str">
        <f t="shared" si="10"/>
        <v>PROTEIN-INHIBITOR/BINDING INTERACTIONS: CXCR4 can act as an entry factor by interacting with glycoprotein (GP) on viral particles during Zaire Ebolavirus (EBOV) infection and  increases EBOV replication by downregulating cytotoxic GP. To further investigate whether such downregulation of GP protein was ubiquitous within different ebolaviruses, they also constructed the GP expression plasmids of Sudan Ebolavirus (SUDV), Taï Forest Ebolavirus (TAFV), Bundibugyo Ebolavirus (BDBV), and Reston Ebolavirus (RESTV), and found that CXCR4 could induce the downregulation of all these GP proteins  with different pathogenicity.</v>
      </c>
      <c r="K17" s="5" t="str">
        <f t="shared" si="11"/>
        <v>Conducted in vitro studies using plasmid construction and transfected cell lines to evaluate viral attachment and entry of CXCR4 (C-X-C motif chemokine receptor 4).</v>
      </c>
      <c r="N17" s="2" t="str">
        <f t="shared" si="12"/>
        <v>https://doi.org/10.1080/15548627.2025.2492877</v>
      </c>
      <c r="O17" s="20">
        <v>40</v>
      </c>
      <c r="P17" s="20" t="s">
        <v>384</v>
      </c>
      <c r="Q17" s="20" t="s">
        <v>385</v>
      </c>
      <c r="R17" s="20" t="s">
        <v>386</v>
      </c>
      <c r="S17" s="20" t="s">
        <v>387</v>
      </c>
      <c r="T17" s="20" t="s">
        <v>287</v>
      </c>
      <c r="U17" s="2"/>
      <c r="V17" s="20" t="s">
        <v>288</v>
      </c>
      <c r="W17" s="2"/>
      <c r="X17" s="20" t="s">
        <v>388</v>
      </c>
      <c r="Y17" s="2"/>
      <c r="Z17" s="20" t="s">
        <v>21</v>
      </c>
      <c r="AA17" s="2"/>
      <c r="AB17" s="2"/>
      <c r="AC17" s="2"/>
      <c r="AD17" s="20" t="s">
        <v>269</v>
      </c>
      <c r="AE17" s="2"/>
      <c r="AF17" s="20" t="s">
        <v>270</v>
      </c>
      <c r="AG17" s="2"/>
      <c r="AH17" s="2"/>
      <c r="AI17" s="20" t="s">
        <v>271</v>
      </c>
      <c r="AJ17" s="2"/>
      <c r="AK17" s="20" t="s">
        <v>272</v>
      </c>
      <c r="AL17" s="2"/>
      <c r="AM17" s="2"/>
      <c r="AN17" s="2"/>
      <c r="AO17" s="2"/>
      <c r="AP17" s="20" t="s">
        <v>389</v>
      </c>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0" t="s">
        <v>73</v>
      </c>
      <c r="CC17" s="2"/>
      <c r="CD17" s="2"/>
      <c r="CE17" s="2"/>
      <c r="CF17" s="2"/>
      <c r="CG17" s="2"/>
      <c r="CH17" s="20" t="s">
        <v>79</v>
      </c>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0" t="s">
        <v>73</v>
      </c>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0" t="s">
        <v>73</v>
      </c>
      <c r="EW17" s="2"/>
      <c r="EX17" s="2"/>
      <c r="EY17" s="2"/>
      <c r="EZ17" s="2"/>
      <c r="FA17" s="2"/>
      <c r="FB17" s="2"/>
      <c r="FC17" s="2"/>
      <c r="FD17" s="2"/>
      <c r="FE17" s="2"/>
      <c r="FF17" s="2"/>
      <c r="FG17" s="2"/>
      <c r="FH17" s="2"/>
      <c r="FI17" s="2"/>
      <c r="FJ17" s="2"/>
      <c r="FK17" s="2"/>
      <c r="FL17" s="2"/>
      <c r="FM17" s="2"/>
      <c r="FN17" s="2"/>
      <c r="FO17" s="2"/>
      <c r="FP17" s="2"/>
      <c r="FQ17" s="2"/>
      <c r="FR17" s="20" t="s">
        <v>73</v>
      </c>
      <c r="FS17" s="2"/>
      <c r="FT17" s="2"/>
      <c r="FU17" s="2"/>
      <c r="FV17" s="2"/>
      <c r="FW17" s="2"/>
      <c r="FX17" s="2"/>
      <c r="FY17" s="2"/>
      <c r="FZ17" s="2"/>
      <c r="GA17" s="2"/>
      <c r="GB17" s="2"/>
      <c r="GC17" s="2"/>
      <c r="GD17" s="2"/>
      <c r="GE17" s="2"/>
      <c r="GF17" s="20" t="s">
        <v>73</v>
      </c>
      <c r="GG17" s="2"/>
      <c r="GH17" s="2"/>
      <c r="GI17" s="2"/>
      <c r="GJ17" s="2"/>
      <c r="GK17" s="2"/>
      <c r="GL17" s="2"/>
      <c r="GM17" s="2"/>
      <c r="GN17" s="2"/>
      <c r="GO17" s="2"/>
      <c r="GP17" s="20" t="s">
        <v>73</v>
      </c>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0" t="s">
        <v>73</v>
      </c>
      <c r="HS17" s="2"/>
      <c r="HT17" s="2"/>
      <c r="HU17" s="2"/>
      <c r="HV17" s="2"/>
      <c r="HW17" s="2"/>
      <c r="HX17" s="2"/>
      <c r="HY17" s="2"/>
      <c r="HZ17" s="2"/>
      <c r="IA17" s="2"/>
      <c r="IB17" s="20" t="s">
        <v>73</v>
      </c>
      <c r="IC17" s="2"/>
      <c r="ID17" s="2"/>
      <c r="IE17" s="2"/>
      <c r="IF17" s="2"/>
      <c r="IG17" s="2"/>
      <c r="IH17" s="2"/>
      <c r="II17" s="2"/>
      <c r="IJ17" s="20" t="s">
        <v>73</v>
      </c>
      <c r="IK17" s="2"/>
      <c r="IL17" s="2"/>
      <c r="IM17" s="2"/>
      <c r="IN17" s="2"/>
      <c r="IO17" s="2"/>
      <c r="IP17" s="20" t="s">
        <v>225</v>
      </c>
      <c r="IQ17" s="2"/>
      <c r="IR17" s="2"/>
      <c r="IS17" s="2"/>
      <c r="IT17" s="2"/>
      <c r="IU17" s="2"/>
      <c r="IV17" s="2"/>
      <c r="IW17" s="2"/>
      <c r="IX17" s="20" t="s">
        <v>73</v>
      </c>
      <c r="IY17" s="2"/>
      <c r="IZ17" s="2"/>
      <c r="JA17" s="2"/>
      <c r="JB17" s="20" t="s">
        <v>73</v>
      </c>
      <c r="JC17" s="2"/>
      <c r="JD17" s="2"/>
      <c r="JE17" s="2"/>
      <c r="JF17" s="20" t="s">
        <v>73</v>
      </c>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0" t="s">
        <v>73</v>
      </c>
      <c r="KG17" s="2"/>
      <c r="KH17" s="20" t="s">
        <v>390</v>
      </c>
      <c r="KI17" s="2"/>
      <c r="KJ17" s="20" t="s">
        <v>391</v>
      </c>
      <c r="KK17" s="2"/>
      <c r="KL17" s="1"/>
      <c r="KM17" s="1"/>
    </row>
    <row r="18" spans="1:299" ht="60" customHeight="1" x14ac:dyDescent="0.25">
      <c r="A18" s="5" t="str">
        <f t="shared" si="1"/>
        <v>Haase, et al, (2025), Advances in Virus Research</v>
      </c>
      <c r="B18" s="3" t="str">
        <f t="shared" si="2"/>
        <v>Molecular virulence determinants of human-pathogenic filoviruses</v>
      </c>
      <c r="C18" s="4" t="str">
        <f t="shared" si="3"/>
        <v>Lit review, Peer-reviewed publication</v>
      </c>
      <c r="D18" s="4" t="str">
        <f t="shared" si="4"/>
        <v>Bundibugyo</v>
      </c>
      <c r="E18" s="4" t="str">
        <f t="shared" si="5"/>
        <v>No</v>
      </c>
      <c r="F18" s="4" t="str">
        <f t="shared" si="6"/>
        <v/>
      </c>
      <c r="G18" s="4" t="str">
        <f t="shared" si="7"/>
        <v/>
      </c>
      <c r="H18" s="4" t="str">
        <f t="shared" si="8"/>
        <v/>
      </c>
      <c r="I18" s="4" t="str">
        <f t="shared" si="9"/>
        <v/>
      </c>
      <c r="J18" s="5" t="str">
        <f t="shared" si="10"/>
        <v/>
      </c>
      <c r="K18" s="5" t="str">
        <f t="shared" si="11"/>
        <v/>
      </c>
      <c r="N18" s="2" t="str">
        <f t="shared" si="12"/>
        <v>https://doi.org/10.1016/bs.aivir.2025.03.003</v>
      </c>
      <c r="O18" s="20">
        <v>41</v>
      </c>
      <c r="P18" s="20" t="s">
        <v>392</v>
      </c>
      <c r="Q18" s="20" t="s">
        <v>393</v>
      </c>
      <c r="R18" s="20" t="s">
        <v>394</v>
      </c>
      <c r="S18" s="20" t="s">
        <v>395</v>
      </c>
      <c r="T18" s="20" t="s">
        <v>266</v>
      </c>
      <c r="U18" s="2"/>
      <c r="V18" s="20">
        <v>2</v>
      </c>
      <c r="W18" s="2"/>
      <c r="X18" s="20" t="s">
        <v>396</v>
      </c>
      <c r="Y18" s="2"/>
      <c r="Z18" s="20" t="s">
        <v>21</v>
      </c>
      <c r="AA18" s="2"/>
      <c r="AB18" s="2"/>
      <c r="AC18" s="2"/>
      <c r="AD18" s="20" t="s">
        <v>269</v>
      </c>
      <c r="AE18" s="2"/>
      <c r="AF18" s="20" t="s">
        <v>270</v>
      </c>
      <c r="AG18" s="2"/>
      <c r="AH18" s="2"/>
      <c r="AI18" s="20" t="s">
        <v>271</v>
      </c>
      <c r="AJ18" s="2"/>
      <c r="AK18" s="20" t="s">
        <v>346</v>
      </c>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1"/>
      <c r="KM18" s="1"/>
    </row>
    <row r="19" spans="1:299" ht="60" customHeight="1" x14ac:dyDescent="0.25">
      <c r="A19" s="5" t="str">
        <f t="shared" si="1"/>
        <v>Koshlan, et al, (2025), Biophysica</v>
      </c>
      <c r="B19" s="3" t="str">
        <f t="shared" si="2"/>
        <v>Identifying Viral Protein Interactions’ Order During Replication and Transcription Processes</v>
      </c>
      <c r="C19" s="4" t="str">
        <f t="shared" si="3"/>
        <v>Primary - article, Experimental, Peer-reviewed publication</v>
      </c>
      <c r="D19" s="4" t="str">
        <f t="shared" si="4"/>
        <v>Bundibugyo</v>
      </c>
      <c r="E19" s="4" t="str">
        <f t="shared" si="5"/>
        <v>No</v>
      </c>
      <c r="F19" s="4" t="str">
        <f t="shared" si="6"/>
        <v>This study found that the complex MJ20, a pan-specific synthetic FAB binds strongly with the NP-C terminal domain of multiple Ebola strains including the Bundibugyo strain.</v>
      </c>
      <c r="G19" s="4" t="str">
        <f t="shared" si="7"/>
        <v>pathogen  Protein-inhibitor/binding interactions</v>
      </c>
      <c r="H19" s="4" t="str">
        <f t="shared" si="8"/>
        <v/>
      </c>
      <c r="I19" s="4" t="str">
        <f t="shared" si="9"/>
        <v/>
      </c>
      <c r="J19" s="5" t="str">
        <f t="shared" si="10"/>
        <v>PROTEIN-INHIBTIOR/BINDING INTERACTIONS:
This study found that the complex MJ20, a pan-specific synthetic FAB binds strongly with the NP-C terminal domain of multiple Ebola strains including the Bundibugyo strain. The spatially studied system included the crystal structure of the complex of MJ20 with the antigen from the Bundibugyo strain of Ebola virus. The study highlights the complex and multifaceted relationships between calculated and experimental parameters for the binding of Fab branches to the Ebola (Bundibugyo) protein.</v>
      </c>
      <c r="K19" s="5" t="str">
        <f t="shared" si="11"/>
        <v>We conducted a study of the co-direction of changes in thermodynamic quantities  during the transition from a monomer to a dimer and then to a trimer and tetramer. In this work, we assume that the co-direction of changes in thermodynamic quantities as the final molecular formation being achieved signals a higher affinity of molecules among themselves than there is for a biochemical formation, which is characterized by the lack of coordination of the biochemical pathway directions of the final molecular compound. As the studied molecular complexes, we took [LGP2-8dsRNA-LGP2], [VP35]2-dsRNA-[VP35]2, and MARV NPcore proteins with peptides and the complex of MJ20 with antigens from the Bundibugyo strain of Ebola virus.</v>
      </c>
      <c r="N19" s="2" t="str">
        <f t="shared" si="12"/>
        <v>https://doi.org/10.3390/biophysica5020011</v>
      </c>
      <c r="O19" s="20">
        <v>43</v>
      </c>
      <c r="P19" s="20" t="s">
        <v>397</v>
      </c>
      <c r="Q19" s="20" t="s">
        <v>398</v>
      </c>
      <c r="R19" s="20" t="s">
        <v>399</v>
      </c>
      <c r="S19" s="20" t="s">
        <v>400</v>
      </c>
      <c r="T19" s="20" t="s">
        <v>401</v>
      </c>
      <c r="U19" s="2"/>
      <c r="V19" s="20" t="s">
        <v>288</v>
      </c>
      <c r="W19" s="2"/>
      <c r="X19" s="20" t="s">
        <v>402</v>
      </c>
      <c r="Y19" s="2"/>
      <c r="Z19" s="20" t="s">
        <v>21</v>
      </c>
      <c r="AA19" s="2"/>
      <c r="AB19" s="2"/>
      <c r="AC19" s="2"/>
      <c r="AD19" s="20" t="s">
        <v>269</v>
      </c>
      <c r="AE19" s="2"/>
      <c r="AF19" s="20" t="s">
        <v>270</v>
      </c>
      <c r="AG19" s="2"/>
      <c r="AH19" s="2"/>
      <c r="AI19" s="20" t="s">
        <v>271</v>
      </c>
      <c r="AJ19" s="2"/>
      <c r="AK19" s="20" t="s">
        <v>272</v>
      </c>
      <c r="AL19" s="2"/>
      <c r="AM19" s="2"/>
      <c r="AN19" s="2"/>
      <c r="AO19" s="2"/>
      <c r="AP19" s="20" t="s">
        <v>403</v>
      </c>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0" t="s">
        <v>73</v>
      </c>
      <c r="CC19" s="2"/>
      <c r="CD19" s="2"/>
      <c r="CE19" s="2"/>
      <c r="CF19" s="2"/>
      <c r="CG19" s="2"/>
      <c r="CH19" s="20" t="s">
        <v>79</v>
      </c>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0" t="s">
        <v>73</v>
      </c>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0" t="s">
        <v>73</v>
      </c>
      <c r="EW19" s="2"/>
      <c r="EX19" s="2"/>
      <c r="EY19" s="2"/>
      <c r="EZ19" s="2"/>
      <c r="FA19" s="2"/>
      <c r="FB19" s="2"/>
      <c r="FC19" s="2"/>
      <c r="FD19" s="2"/>
      <c r="FE19" s="2"/>
      <c r="FF19" s="2"/>
      <c r="FG19" s="2"/>
      <c r="FH19" s="2"/>
      <c r="FI19" s="2"/>
      <c r="FJ19" s="2"/>
      <c r="FK19" s="2"/>
      <c r="FL19" s="2"/>
      <c r="FM19" s="2"/>
      <c r="FN19" s="2"/>
      <c r="FO19" s="2"/>
      <c r="FP19" s="2"/>
      <c r="FQ19" s="2"/>
      <c r="FR19" s="20" t="s">
        <v>73</v>
      </c>
      <c r="FS19" s="2"/>
      <c r="FT19" s="2"/>
      <c r="FU19" s="2"/>
      <c r="FV19" s="2"/>
      <c r="FW19" s="2"/>
      <c r="FX19" s="2"/>
      <c r="FY19" s="2"/>
      <c r="FZ19" s="2"/>
      <c r="GA19" s="2"/>
      <c r="GB19" s="2"/>
      <c r="GC19" s="2"/>
      <c r="GD19" s="2"/>
      <c r="GE19" s="2"/>
      <c r="GF19" s="20" t="s">
        <v>73</v>
      </c>
      <c r="GG19" s="2"/>
      <c r="GH19" s="2"/>
      <c r="GI19" s="2"/>
      <c r="GJ19" s="2"/>
      <c r="GK19" s="2"/>
      <c r="GL19" s="2"/>
      <c r="GM19" s="2"/>
      <c r="GN19" s="2"/>
      <c r="GO19" s="2"/>
      <c r="GP19" s="20" t="s">
        <v>73</v>
      </c>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0" t="s">
        <v>73</v>
      </c>
      <c r="HS19" s="2"/>
      <c r="HT19" s="2"/>
      <c r="HU19" s="2"/>
      <c r="HV19" s="2"/>
      <c r="HW19" s="2"/>
      <c r="HX19" s="2"/>
      <c r="HY19" s="2"/>
      <c r="HZ19" s="2"/>
      <c r="IA19" s="2"/>
      <c r="IB19" s="20" t="s">
        <v>73</v>
      </c>
      <c r="IC19" s="2"/>
      <c r="ID19" s="2"/>
      <c r="IE19" s="2"/>
      <c r="IF19" s="2"/>
      <c r="IG19" s="2"/>
      <c r="IH19" s="2"/>
      <c r="II19" s="2"/>
      <c r="IJ19" s="20" t="s">
        <v>73</v>
      </c>
      <c r="IK19" s="2"/>
      <c r="IL19" s="2"/>
      <c r="IM19" s="2"/>
      <c r="IN19" s="2"/>
      <c r="IO19" s="2"/>
      <c r="IP19" s="20" t="s">
        <v>225</v>
      </c>
      <c r="IQ19" s="2"/>
      <c r="IR19" s="2"/>
      <c r="IS19" s="2"/>
      <c r="IT19" s="2"/>
      <c r="IU19" s="2"/>
      <c r="IV19" s="2"/>
      <c r="IW19" s="2"/>
      <c r="IX19" s="20" t="s">
        <v>73</v>
      </c>
      <c r="IY19" s="2"/>
      <c r="IZ19" s="2"/>
      <c r="JA19" s="2"/>
      <c r="JB19" s="20" t="s">
        <v>73</v>
      </c>
      <c r="JC19" s="2"/>
      <c r="JD19" s="2"/>
      <c r="JE19" s="2"/>
      <c r="JF19" s="20" t="s">
        <v>73</v>
      </c>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0" t="s">
        <v>73</v>
      </c>
      <c r="KG19" s="2"/>
      <c r="KH19" s="20" t="s">
        <v>404</v>
      </c>
      <c r="KI19" s="2"/>
      <c r="KJ19" s="20" t="s">
        <v>405</v>
      </c>
      <c r="KK19" s="2"/>
      <c r="KL19" s="1"/>
      <c r="KM19" s="1"/>
    </row>
    <row r="20" spans="1:299" ht="60" customHeight="1" x14ac:dyDescent="0.25">
      <c r="A20" s="5" t="str">
        <f t="shared" si="1"/>
        <v>Paasi, et al, (2025), Journal of Epidemiology and Global Health</v>
      </c>
      <c r="B20" s="3" t="str">
        <f t="shared" si="2"/>
        <v>The Impact of Diagnostic Delays and Timeliness of Response on Ebola Disease outbreak-level case-fatality Ratios in Uganda (2000–2023): a Rapid Systematic Review and meta-analysis</v>
      </c>
      <c r="C20" s="4" t="str">
        <f t="shared" si="3"/>
        <v>Rapid  Review, Peer-reviewed publication</v>
      </c>
      <c r="D20" s="4" t="str">
        <f t="shared" si="4"/>
        <v>Bundibugyo</v>
      </c>
      <c r="E20" s="4" t="str">
        <f t="shared" si="5"/>
        <v>No</v>
      </c>
      <c r="F20" s="4" t="str">
        <f t="shared" si="6"/>
        <v>This rapid review and meta-analysis aimed to quantify the effect of diagnostic and response delays on outbreak-level mortality for Ebola virus disease (EBOD) in Uganda (2000-2022).  By species, Sudan ebolavirus outbreaks (n = 5) had a CFR of 44.6% (95% CI: 33.7%–55.6%), Bundibugyo ebolavirus (n = 1) 24.8% (95% CI: 18.2%–32.1%), and Zaire ebolavirus (n = 1) 100% (95% CI: 61.2%–100.0%).</v>
      </c>
      <c r="G20" s="4" t="str">
        <f t="shared" si="7"/>
        <v>Other Epi; Mortality; Mortality risk factors</v>
      </c>
      <c r="H20" s="4" t="str">
        <f t="shared" si="8"/>
        <v>Human - General population</v>
      </c>
      <c r="I20" s="4" t="str">
        <f t="shared" si="9"/>
        <v/>
      </c>
      <c r="J20" s="5" t="str">
        <f t="shared" si="10"/>
        <v>EPIDEMIOLOIGCAL PARAMETER OTHER:
In the subsequent Bundibugyo 2007 epidemic, Ministry of Health operations including rapid case notification and mobilization of contact‐tracing teams achieved a mean interval of three days from index case report to completion of contact line‐listing.
MORTALITY:
CFR for Bundibugyo ebolavirus (n = 1) 24.8% (95% CI: 18.2%–32.1%) which was lower than Zaire ebolavirus (100% CFR) and Sudan  (44.6% CFR).
RISK FACTORS- MORTALITY:
Bundibugyo ebolavirus patients and found that haemorrhagic manifestations were significantly more common in those who died (Fisher’s exact p = 0.05) and that each additional clinically observed symptom increased the odds of death by ~ 31% (OR 1.31; 95% CI 1.04–1.82) .</v>
      </c>
      <c r="K20" s="5" t="str">
        <f t="shared" si="11"/>
        <v>We searched PubMed, Embase, Scopus, Web of Science, WHO Global Index Medicus, and grey literature through 30 April 2025. Eligible reports described laboratory-confirmed human EBOD in Uganda (2000–2022) and reported case counts, deaths, or quantitative timeliness metrics. Outbreak-level CFRs were meta-analyzed using random-effects models with Freeman–Tukey transformation (metafor package in R). Mixed-effects meta-regression assessed the association between continuous delay metrics and transformed CFR.
 We synthesized data from 15 studies covering seven laboratory-confirmed Ebola outbreaks in Uganda (2000–2022) (Table 2), comprising four Sudan ebolavirus waves (Gulu 2000; Luwero 2011; Kibaale 2012; Luwero hospital 2012), one Bundibugyo ebolavirus wave (Bundibugyo 2007), and two Zaire ebolavirus importations (Kasese 2019 and 2020).</v>
      </c>
      <c r="N20" s="2" t="str">
        <f t="shared" si="12"/>
        <v>https://doi.org/10.1007/s44197-025-00471-1</v>
      </c>
      <c r="O20" s="20">
        <v>45</v>
      </c>
      <c r="P20" s="20" t="s">
        <v>406</v>
      </c>
      <c r="Q20" s="20" t="s">
        <v>407</v>
      </c>
      <c r="R20" s="20" t="s">
        <v>408</v>
      </c>
      <c r="S20" s="20" t="s">
        <v>409</v>
      </c>
      <c r="T20" s="20" t="s">
        <v>297</v>
      </c>
      <c r="U20" s="2"/>
      <c r="V20" s="20" t="s">
        <v>267</v>
      </c>
      <c r="W20" s="2"/>
      <c r="X20" s="20" t="s">
        <v>410</v>
      </c>
      <c r="Y20" s="2"/>
      <c r="Z20" s="20" t="s">
        <v>21</v>
      </c>
      <c r="AA20" s="2"/>
      <c r="AB20" s="2"/>
      <c r="AC20" s="2"/>
      <c r="AD20" s="20" t="s">
        <v>269</v>
      </c>
      <c r="AE20" s="2"/>
      <c r="AF20" s="20" t="s">
        <v>270</v>
      </c>
      <c r="AG20" s="2"/>
      <c r="AH20" s="2"/>
      <c r="AI20" s="20" t="s">
        <v>271</v>
      </c>
      <c r="AJ20" s="2"/>
      <c r="AK20" s="20" t="s">
        <v>411</v>
      </c>
      <c r="AL20" s="2"/>
      <c r="AM20" s="2"/>
      <c r="AN20" s="2"/>
      <c r="AO20" s="2"/>
      <c r="AP20" s="20" t="s">
        <v>412</v>
      </c>
      <c r="AQ20" s="2"/>
      <c r="AR20" s="20" t="s">
        <v>37</v>
      </c>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0" t="s">
        <v>73</v>
      </c>
      <c r="DA20" s="2"/>
      <c r="DB20" s="2"/>
      <c r="DC20" s="2"/>
      <c r="DD20" s="2"/>
      <c r="DE20" s="2"/>
      <c r="DF20" s="2"/>
      <c r="DG20" s="2"/>
      <c r="DH20" s="2"/>
      <c r="DI20" s="2"/>
      <c r="DJ20" s="2"/>
      <c r="DK20" s="2"/>
      <c r="DL20" s="2"/>
      <c r="DM20" s="2"/>
      <c r="DN20" s="2"/>
      <c r="DO20" s="2"/>
      <c r="DP20" s="2"/>
      <c r="DQ20" s="2"/>
      <c r="DR20" s="2"/>
      <c r="DS20" s="2"/>
      <c r="DT20" s="2"/>
      <c r="DU20" s="2"/>
      <c r="DV20" s="20" t="s">
        <v>73</v>
      </c>
      <c r="DW20" s="2"/>
      <c r="DX20" s="2"/>
      <c r="DY20" s="2"/>
      <c r="DZ20" s="2"/>
      <c r="EA20" s="2"/>
      <c r="EB20" s="2"/>
      <c r="EC20" s="2"/>
      <c r="ED20" s="2"/>
      <c r="EE20" s="2"/>
      <c r="EF20" s="2"/>
      <c r="EG20" s="2"/>
      <c r="EH20" s="2"/>
      <c r="EI20" s="2"/>
      <c r="EJ20" s="2"/>
      <c r="EK20" s="2"/>
      <c r="EL20" s="2"/>
      <c r="EM20" s="2"/>
      <c r="EN20" s="2"/>
      <c r="EO20" s="2"/>
      <c r="EP20" s="2"/>
      <c r="EQ20" s="2"/>
      <c r="ER20" s="2"/>
      <c r="ES20" s="2"/>
      <c r="ET20" s="20" t="s">
        <v>139</v>
      </c>
      <c r="EU20" s="2"/>
      <c r="EV20" s="2"/>
      <c r="EW20" s="2"/>
      <c r="EX20" s="2"/>
      <c r="EY20" s="2"/>
      <c r="EZ20" s="2"/>
      <c r="FA20" s="2"/>
      <c r="FB20" s="2"/>
      <c r="FC20" s="2"/>
      <c r="FD20" s="2"/>
      <c r="FE20" s="2"/>
      <c r="FF20" s="20" t="s">
        <v>149</v>
      </c>
      <c r="FG20" s="2"/>
      <c r="FH20" s="2"/>
      <c r="FI20" s="2"/>
      <c r="FJ20" s="2"/>
      <c r="FK20" s="2"/>
      <c r="FL20" s="2"/>
      <c r="FM20" s="2"/>
      <c r="FN20" s="20" t="s">
        <v>157</v>
      </c>
      <c r="FO20" s="2"/>
      <c r="FP20" s="2"/>
      <c r="FQ20" s="2"/>
      <c r="FR20" s="2"/>
      <c r="FS20" s="2"/>
      <c r="FT20" s="2"/>
      <c r="FU20" s="2"/>
      <c r="FV20" s="2"/>
      <c r="FW20" s="2"/>
      <c r="FX20" s="2"/>
      <c r="FY20" s="2"/>
      <c r="FZ20" s="2"/>
      <c r="GA20" s="2"/>
      <c r="GB20" s="2"/>
      <c r="GC20" s="2"/>
      <c r="GD20" s="2"/>
      <c r="GE20" s="2"/>
      <c r="GF20" s="20" t="s">
        <v>73</v>
      </c>
      <c r="GG20" s="2"/>
      <c r="GH20" s="2"/>
      <c r="GI20" s="2"/>
      <c r="GJ20" s="2"/>
      <c r="GK20" s="2"/>
      <c r="GL20" s="2"/>
      <c r="GM20" s="2"/>
      <c r="GN20" s="2"/>
      <c r="GO20" s="2"/>
      <c r="GP20" s="20" t="s">
        <v>73</v>
      </c>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0" t="s">
        <v>73</v>
      </c>
      <c r="HS20" s="2"/>
      <c r="HT20" s="2"/>
      <c r="HU20" s="2"/>
      <c r="HV20" s="2"/>
      <c r="HW20" s="2"/>
      <c r="HX20" s="2"/>
      <c r="HY20" s="2"/>
      <c r="HZ20" s="2"/>
      <c r="IA20" s="2"/>
      <c r="IB20" s="20" t="s">
        <v>73</v>
      </c>
      <c r="IC20" s="2"/>
      <c r="ID20" s="2"/>
      <c r="IE20" s="2"/>
      <c r="IF20" s="2"/>
      <c r="IG20" s="2"/>
      <c r="IH20" s="2"/>
      <c r="II20" s="2"/>
      <c r="IJ20" s="20" t="s">
        <v>73</v>
      </c>
      <c r="IK20" s="2"/>
      <c r="IL20" s="2"/>
      <c r="IM20" s="2"/>
      <c r="IN20" s="2"/>
      <c r="IO20" s="2"/>
      <c r="IP20" s="2"/>
      <c r="IQ20" s="2"/>
      <c r="IR20" s="2"/>
      <c r="IS20" s="2"/>
      <c r="IT20" s="20" t="s">
        <v>73</v>
      </c>
      <c r="IU20" s="2"/>
      <c r="IV20" s="2"/>
      <c r="IW20" s="2"/>
      <c r="IX20" s="20" t="s">
        <v>73</v>
      </c>
      <c r="IY20" s="2"/>
      <c r="IZ20" s="2"/>
      <c r="JA20" s="2"/>
      <c r="JB20" s="20" t="s">
        <v>73</v>
      </c>
      <c r="JC20" s="2"/>
      <c r="JD20" s="2"/>
      <c r="JE20" s="2"/>
      <c r="JF20" s="20" t="s">
        <v>73</v>
      </c>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0" t="s">
        <v>73</v>
      </c>
      <c r="KG20" s="2"/>
      <c r="KH20" s="20" t="s">
        <v>413</v>
      </c>
      <c r="KI20" s="2"/>
      <c r="KJ20" s="20" t="s">
        <v>414</v>
      </c>
      <c r="KK20" s="2"/>
      <c r="KL20" s="1"/>
      <c r="KM20" s="1"/>
    </row>
    <row r="21" spans="1:299" ht="60" customHeight="1" x14ac:dyDescent="0.25">
      <c r="A21" s="5" t="str">
        <f t="shared" si="1"/>
        <v>Ugwu, et al, (2025), Viral Hemorrhagic Fevers: Epidemiology, Pathogenesis, Management, and Preparedness</v>
      </c>
      <c r="B21" s="3" t="str">
        <f t="shared" si="2"/>
        <v>Molecular pathogenesis—Part B</v>
      </c>
      <c r="C21" s="4" t="str">
        <f t="shared" si="3"/>
        <v>Lit review, Peer-reviewed publication</v>
      </c>
      <c r="D21" s="4" t="str">
        <f t="shared" si="4"/>
        <v>Bundibugyo</v>
      </c>
      <c r="E21" s="4" t="str">
        <f t="shared" si="5"/>
        <v>No</v>
      </c>
      <c r="F21" s="4" t="str">
        <f t="shared" si="6"/>
        <v/>
      </c>
      <c r="G21" s="4" t="str">
        <f t="shared" si="7"/>
        <v/>
      </c>
      <c r="H21" s="4" t="str">
        <f t="shared" si="8"/>
        <v/>
      </c>
      <c r="I21" s="4" t="str">
        <f t="shared" si="9"/>
        <v/>
      </c>
      <c r="J21" s="5" t="str">
        <f t="shared" si="10"/>
        <v/>
      </c>
      <c r="K21" s="5" t="str">
        <f t="shared" si="11"/>
        <v/>
      </c>
      <c r="N21" s="2" t="str">
        <f t="shared" si="12"/>
        <v>https://doi.org/10.1016/B978-0-443-13833-1.00016-8</v>
      </c>
      <c r="O21" s="20">
        <v>47</v>
      </c>
      <c r="P21" s="20" t="s">
        <v>415</v>
      </c>
      <c r="Q21" s="20" t="s">
        <v>416</v>
      </c>
      <c r="R21" s="20" t="s">
        <v>417</v>
      </c>
      <c r="S21" s="20" t="s">
        <v>418</v>
      </c>
      <c r="T21" s="20" t="s">
        <v>297</v>
      </c>
      <c r="U21" s="2"/>
      <c r="V21" s="20">
        <v>2</v>
      </c>
      <c r="W21" s="2"/>
      <c r="X21" s="20" t="s">
        <v>419</v>
      </c>
      <c r="Y21" s="2"/>
      <c r="Z21" s="20" t="s">
        <v>21</v>
      </c>
      <c r="AA21" s="2"/>
      <c r="AB21" s="2"/>
      <c r="AC21" s="2"/>
      <c r="AD21" s="20" t="s">
        <v>269</v>
      </c>
      <c r="AE21" s="2"/>
      <c r="AF21" s="20" t="s">
        <v>270</v>
      </c>
      <c r="AG21" s="2"/>
      <c r="AH21" s="2"/>
      <c r="AI21" s="20" t="s">
        <v>271</v>
      </c>
      <c r="AJ21" s="2"/>
      <c r="AK21" s="20" t="s">
        <v>346</v>
      </c>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1"/>
      <c r="KM21" s="1"/>
    </row>
    <row r="22" spans="1:299" ht="60" customHeight="1" x14ac:dyDescent="0.25">
      <c r="A22" s="5" t="str">
        <f t="shared" si="1"/>
        <v>Phelan, et al, (2026), Lancet (London, England)</v>
      </c>
      <c r="B22" s="3" t="str">
        <f t="shared" si="2"/>
        <v>The PHEIC for Ebola disease caused by Bundibugyo virus: an inflection point for solidarity and health equity</v>
      </c>
      <c r="C22" s="4" t="str">
        <f t="shared" si="3"/>
        <v>Commentary, Peer-reviewed publication</v>
      </c>
      <c r="D22" s="4" t="str">
        <f t="shared" si="4"/>
        <v>Bundibugyo</v>
      </c>
      <c r="E22" s="4" t="str">
        <f t="shared" si="5"/>
        <v>Yes</v>
      </c>
      <c r="F22" s="4" t="str">
        <f t="shared" si="6"/>
        <v/>
      </c>
      <c r="G22" s="4" t="str">
        <f t="shared" si="7"/>
        <v/>
      </c>
      <c r="H22" s="4" t="str">
        <f t="shared" si="8"/>
        <v/>
      </c>
      <c r="I22" s="4" t="str">
        <f t="shared" si="9"/>
        <v/>
      </c>
      <c r="J22" s="5" t="str">
        <f t="shared" si="10"/>
        <v/>
      </c>
      <c r="K22" s="5" t="str">
        <f t="shared" si="11"/>
        <v/>
      </c>
      <c r="N22" s="2" t="str">
        <f t="shared" si="12"/>
        <v>https://doi.org/10.1016/s0140-6736(26)01037-8</v>
      </c>
      <c r="O22" s="20">
        <v>50</v>
      </c>
      <c r="P22" s="20" t="s">
        <v>420</v>
      </c>
      <c r="Q22" s="20" t="s">
        <v>421</v>
      </c>
      <c r="R22" s="20" t="s">
        <v>422</v>
      </c>
      <c r="S22" s="20" t="s">
        <v>423</v>
      </c>
      <c r="T22" s="20" t="s">
        <v>297</v>
      </c>
      <c r="U22" s="2"/>
      <c r="V22" s="20">
        <v>2</v>
      </c>
      <c r="W22" s="2"/>
      <c r="X22" s="20" t="s">
        <v>424</v>
      </c>
      <c r="Y22" s="2"/>
      <c r="Z22" s="20" t="s">
        <v>21</v>
      </c>
      <c r="AA22" s="2"/>
      <c r="AB22" s="2"/>
      <c r="AC22" s="2"/>
      <c r="AD22" s="20" t="s">
        <v>352</v>
      </c>
      <c r="AE22" s="2"/>
      <c r="AF22" s="20" t="s">
        <v>270</v>
      </c>
      <c r="AG22" s="2"/>
      <c r="AH22" s="2"/>
      <c r="AI22" s="20" t="s">
        <v>271</v>
      </c>
      <c r="AJ22" s="2"/>
      <c r="AK22" s="20" t="s">
        <v>425</v>
      </c>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1"/>
      <c r="KM22" s="1"/>
    </row>
    <row r="23" spans="1:299" ht="60" customHeight="1" x14ac:dyDescent="0.25">
      <c r="A23" s="5" t="str">
        <f t="shared" si="1"/>
        <v xml:space="preserve">The Lancet, et al, (2026) </v>
      </c>
      <c r="B23" s="3" t="str">
        <f t="shared" si="2"/>
        <v>Key facts about the Bundibugyo virus outbreak</v>
      </c>
      <c r="C23" s="4" t="str">
        <f t="shared" si="3"/>
        <v>Commentary, Peer-reviewed publication</v>
      </c>
      <c r="D23" s="4" t="str">
        <f t="shared" si="4"/>
        <v>Bundibugyo</v>
      </c>
      <c r="E23" s="4" t="str">
        <f t="shared" si="5"/>
        <v>Yes</v>
      </c>
      <c r="F23" s="4" t="str">
        <f t="shared" si="6"/>
        <v/>
      </c>
      <c r="G23" s="4" t="str">
        <f t="shared" si="7"/>
        <v/>
      </c>
      <c r="H23" s="4" t="str">
        <f t="shared" si="8"/>
        <v/>
      </c>
      <c r="I23" s="4" t="str">
        <f t="shared" si="9"/>
        <v/>
      </c>
      <c r="J23" s="5" t="str">
        <f t="shared" si="10"/>
        <v/>
      </c>
      <c r="K23" s="5" t="str">
        <f t="shared" si="11"/>
        <v/>
      </c>
      <c r="N23" s="2" t="str">
        <f t="shared" si="12"/>
        <v>https://doi.org/10.1016/s1473-3099(26)00293-8</v>
      </c>
      <c r="O23" s="20">
        <v>54</v>
      </c>
      <c r="P23" s="20" t="s">
        <v>1360</v>
      </c>
      <c r="Q23" s="20" t="s">
        <v>426</v>
      </c>
      <c r="R23" s="20" t="s">
        <v>427</v>
      </c>
      <c r="S23" s="20" t="s">
        <v>428</v>
      </c>
      <c r="T23" s="20" t="s">
        <v>266</v>
      </c>
      <c r="U23" s="2"/>
      <c r="V23" s="20">
        <v>2</v>
      </c>
      <c r="W23" s="2"/>
      <c r="X23" s="20" t="s">
        <v>429</v>
      </c>
      <c r="Y23" s="2"/>
      <c r="Z23" s="20" t="s">
        <v>21</v>
      </c>
      <c r="AA23" s="2"/>
      <c r="AB23" s="2"/>
      <c r="AC23" s="2"/>
      <c r="AD23" s="20" t="s">
        <v>352</v>
      </c>
      <c r="AE23" s="2"/>
      <c r="AF23" s="20" t="s">
        <v>270</v>
      </c>
      <c r="AG23" s="2"/>
      <c r="AH23" s="2"/>
      <c r="AI23" s="20" t="s">
        <v>271</v>
      </c>
      <c r="AJ23" s="2"/>
      <c r="AK23" s="20" t="s">
        <v>425</v>
      </c>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1"/>
      <c r="KM23" s="1"/>
    </row>
    <row r="24" spans="1:299" ht="60" customHeight="1" x14ac:dyDescent="0.25">
      <c r="A24" s="5" t="str">
        <f t="shared" si="1"/>
        <v xml:space="preserve">Velavan, et al, (2026) </v>
      </c>
      <c r="B24" s="3" t="str">
        <f t="shared" si="2"/>
        <v>Bundibugyo Ebola: why preparedness still fails at the point of detection</v>
      </c>
      <c r="C24" s="4" t="str">
        <f t="shared" si="3"/>
        <v>Commentary, Peer-reviewed publication</v>
      </c>
      <c r="D24" s="4" t="str">
        <f t="shared" si="4"/>
        <v>Bundibugyo</v>
      </c>
      <c r="E24" s="4" t="str">
        <f t="shared" si="5"/>
        <v>Yes</v>
      </c>
      <c r="F24" s="4" t="str">
        <f t="shared" si="6"/>
        <v/>
      </c>
      <c r="G24" s="4" t="str">
        <f t="shared" si="7"/>
        <v/>
      </c>
      <c r="H24" s="4" t="str">
        <f t="shared" si="8"/>
        <v/>
      </c>
      <c r="I24" s="4" t="str">
        <f t="shared" si="9"/>
        <v/>
      </c>
      <c r="J24" s="5" t="str">
        <f t="shared" si="10"/>
        <v/>
      </c>
      <c r="K24" s="5" t="str">
        <f t="shared" si="11"/>
        <v/>
      </c>
      <c r="N24" s="2" t="str">
        <f t="shared" si="12"/>
        <v>https://doi.org/10.1016/s1473-3099(26)00286-0</v>
      </c>
      <c r="O24" s="20">
        <v>55</v>
      </c>
      <c r="P24" s="20" t="s">
        <v>1361</v>
      </c>
      <c r="Q24" s="20" t="s">
        <v>430</v>
      </c>
      <c r="R24" s="20" t="s">
        <v>431</v>
      </c>
      <c r="S24" s="20" t="s">
        <v>432</v>
      </c>
      <c r="T24" s="20" t="s">
        <v>433</v>
      </c>
      <c r="U24" s="2"/>
      <c r="V24" s="20">
        <v>2</v>
      </c>
      <c r="W24" s="2"/>
      <c r="X24" s="20" t="s">
        <v>434</v>
      </c>
      <c r="Y24" s="2"/>
      <c r="Z24" s="20" t="s">
        <v>21</v>
      </c>
      <c r="AA24" s="2"/>
      <c r="AB24" s="2"/>
      <c r="AC24" s="2"/>
      <c r="AD24" s="20" t="s">
        <v>352</v>
      </c>
      <c r="AE24" s="2"/>
      <c r="AF24" s="20" t="s">
        <v>270</v>
      </c>
      <c r="AG24" s="2"/>
      <c r="AH24" s="2"/>
      <c r="AI24" s="20" t="s">
        <v>271</v>
      </c>
      <c r="AJ24" s="2"/>
      <c r="AK24" s="20" t="s">
        <v>425</v>
      </c>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1"/>
      <c r="KM24" s="1"/>
    </row>
    <row r="25" spans="1:299" ht="60" customHeight="1" x14ac:dyDescent="0.25">
      <c r="A25" s="5" t="str">
        <f t="shared" si="1"/>
        <v xml:space="preserve">WHO, (2026) </v>
      </c>
      <c r="B25" s="3" t="str">
        <f t="shared" si="2"/>
        <v>WHO emergency guidance on the use of licensed Ebola virus vaccine during Bundibugyo virus disease outbreaks, 28 May 2026</v>
      </c>
      <c r="C25" s="4" t="str">
        <f t="shared" si="3"/>
        <v>Guideline, Government report</v>
      </c>
      <c r="D25" s="4" t="str">
        <f t="shared" si="4"/>
        <v>Bundibugyo</v>
      </c>
      <c r="E25" s="4" t="str">
        <f t="shared" si="5"/>
        <v>Yes</v>
      </c>
      <c r="F25" s="4" t="str">
        <f t="shared" si="6"/>
        <v>WHO recommends that Ervebo® should not be used programmatically in response to BDBV outbreaks outside controlled research settings. The document emphasizes that outbreak control should continue to rely on established public health measures, including surveillance, contact tracing, clinical management, infection prevention and control, and community engagement, while calling for accelerated development and evaluation of BDBV-specific and broadly protective filovirus vaccines.</v>
      </c>
      <c r="G25" s="4" t="str">
        <f t="shared" si="7"/>
        <v/>
      </c>
      <c r="H25" s="4" t="str">
        <f t="shared" si="8"/>
        <v/>
      </c>
      <c r="I25" s="4" t="str">
        <f t="shared" si="9"/>
        <v/>
      </c>
      <c r="J25" s="5" t="str">
        <f t="shared" si="10"/>
        <v/>
      </c>
      <c r="K25" s="5" t="str">
        <f t="shared" si="11"/>
        <v/>
      </c>
      <c r="N25" s="2" t="str">
        <f t="shared" si="12"/>
        <v>https://iris.who.int/items/b0d99425-40f1-4635-80ba-fa7bdc849a5d</v>
      </c>
      <c r="O25" s="20">
        <v>62</v>
      </c>
      <c r="P25" s="20" t="s">
        <v>1362</v>
      </c>
      <c r="Q25" s="20" t="s">
        <v>435</v>
      </c>
      <c r="R25" s="2"/>
      <c r="S25" s="20" t="s">
        <v>436</v>
      </c>
      <c r="T25" s="20" t="s">
        <v>297</v>
      </c>
      <c r="U25" s="2"/>
      <c r="V25" s="20">
        <v>2</v>
      </c>
      <c r="W25" s="2"/>
      <c r="X25" s="20" t="s">
        <v>436</v>
      </c>
      <c r="Y25" s="2"/>
      <c r="Z25" s="20" t="s">
        <v>21</v>
      </c>
      <c r="AA25" s="2"/>
      <c r="AB25" s="2"/>
      <c r="AC25" s="2"/>
      <c r="AD25" s="20" t="s">
        <v>352</v>
      </c>
      <c r="AE25" s="2"/>
      <c r="AF25" s="20" t="s">
        <v>270</v>
      </c>
      <c r="AG25" s="2"/>
      <c r="AH25" s="2"/>
      <c r="AI25" s="20" t="s">
        <v>437</v>
      </c>
      <c r="AJ25" s="2"/>
      <c r="AK25" s="20" t="s">
        <v>438</v>
      </c>
      <c r="AL25" s="2"/>
      <c r="AM25" s="20" t="s">
        <v>439</v>
      </c>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1"/>
      <c r="KM25" s="1"/>
    </row>
    <row r="26" spans="1:299" ht="60" customHeight="1" x14ac:dyDescent="0.25">
      <c r="A26" s="5" t="str">
        <f t="shared" si="1"/>
        <v xml:space="preserve">WHO, (2026) </v>
      </c>
      <c r="B26" s="3" t="str">
        <f t="shared" si="2"/>
        <v>Implementation of border health and international travel-related temporary recommendations issued by the Director-General of WHO to States Parties not sharing land borders with areas with documented Bundibugyo virus detection: technical note, 26 May 2026</v>
      </c>
      <c r="C26" s="4" t="str">
        <f t="shared" si="3"/>
        <v>Guideline, Government report</v>
      </c>
      <c r="D26" s="4" t="str">
        <f t="shared" si="4"/>
        <v>Bundibugyo</v>
      </c>
      <c r="E26" s="4" t="str">
        <f t="shared" si="5"/>
        <v>Yes</v>
      </c>
      <c r="F26" s="4" t="str">
        <f t="shared" si="6"/>
        <v>This WHO technical note provides operational guidance for States Parties without shared land borders to implement temporary travel-related recommendations following the Bundibugyo virus epidemic declaration as a Public Health Emergency of International Concern. It outlines preparedness measures for points of entry, including travel advice, contingency planning, infection control, and coordination between health and transport sectors, while addressing the epidemiological context, transmission modes, and current lack of licensed vaccines or therapeutics for BDBV.</v>
      </c>
      <c r="G26" s="4" t="str">
        <f t="shared" si="7"/>
        <v/>
      </c>
      <c r="H26" s="4" t="str">
        <f t="shared" si="8"/>
        <v/>
      </c>
      <c r="I26" s="4" t="str">
        <f t="shared" si="9"/>
        <v/>
      </c>
      <c r="J26" s="5" t="str">
        <f t="shared" si="10"/>
        <v/>
      </c>
      <c r="K26" s="5" t="str">
        <f t="shared" si="11"/>
        <v/>
      </c>
      <c r="N26" s="2" t="str">
        <f t="shared" si="12"/>
        <v>https://doi.org/https://doi.org/10.2471/B09769</v>
      </c>
      <c r="O26" s="20">
        <v>63</v>
      </c>
      <c r="P26" s="20" t="s">
        <v>1362</v>
      </c>
      <c r="Q26" s="20" t="s">
        <v>440</v>
      </c>
      <c r="R26" s="20" t="s">
        <v>441</v>
      </c>
      <c r="S26" s="20" t="s">
        <v>442</v>
      </c>
      <c r="T26" s="20" t="s">
        <v>266</v>
      </c>
      <c r="U26" s="2"/>
      <c r="V26" s="20">
        <v>2</v>
      </c>
      <c r="W26" s="2"/>
      <c r="X26" s="20" t="s">
        <v>443</v>
      </c>
      <c r="Y26" s="2"/>
      <c r="Z26" s="20" t="s">
        <v>21</v>
      </c>
      <c r="AA26" s="2"/>
      <c r="AB26" s="2"/>
      <c r="AC26" s="2"/>
      <c r="AD26" s="20" t="s">
        <v>352</v>
      </c>
      <c r="AE26" s="2"/>
      <c r="AF26" s="20" t="s">
        <v>270</v>
      </c>
      <c r="AG26" s="2"/>
      <c r="AH26" s="2"/>
      <c r="AI26" s="20" t="s">
        <v>437</v>
      </c>
      <c r="AJ26" s="2"/>
      <c r="AK26" s="20" t="s">
        <v>438</v>
      </c>
      <c r="AL26" s="2"/>
      <c r="AM26" s="20" t="s">
        <v>444</v>
      </c>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1"/>
      <c r="KM26" s="1"/>
    </row>
    <row r="27" spans="1:299" ht="60" customHeight="1" x14ac:dyDescent="0.25">
      <c r="A27" s="5" t="str">
        <f t="shared" si="1"/>
        <v xml:space="preserve">WHO, (2026) </v>
      </c>
      <c r="B27" s="3" t="str">
        <f t="shared" si="2"/>
        <v>WHO Technical Advisory Group on therapeutics prioritization for Bundibugyo virus disease: meeting report, 20 and 26 May 2026</v>
      </c>
      <c r="C27" s="4" t="str">
        <f t="shared" si="3"/>
        <v>Other non-primary, Other grey literature report</v>
      </c>
      <c r="D27" s="4" t="str">
        <f t="shared" si="4"/>
        <v>Bundibugyo</v>
      </c>
      <c r="E27" s="4" t="str">
        <f t="shared" si="5"/>
        <v>Yes</v>
      </c>
      <c r="F27" s="4" t="str">
        <f t="shared" si="6"/>
        <v/>
      </c>
      <c r="G27" s="4" t="str">
        <f t="shared" si="7"/>
        <v/>
      </c>
      <c r="H27" s="4" t="str">
        <f t="shared" si="8"/>
        <v/>
      </c>
      <c r="I27" s="4" t="str">
        <f t="shared" si="9"/>
        <v/>
      </c>
      <c r="J27" s="5" t="str">
        <f t="shared" si="10"/>
        <v/>
      </c>
      <c r="K27" s="5" t="str">
        <f t="shared" si="11"/>
        <v/>
      </c>
      <c r="N27" s="2" t="str">
        <f t="shared" si="12"/>
        <v>https://doi.org/https://doi.org/10.2471/B09767</v>
      </c>
      <c r="O27" s="20">
        <v>64</v>
      </c>
      <c r="P27" s="20" t="s">
        <v>1362</v>
      </c>
      <c r="Q27" s="20" t="s">
        <v>445</v>
      </c>
      <c r="R27" s="20" t="s">
        <v>446</v>
      </c>
      <c r="S27" s="20" t="s">
        <v>447</v>
      </c>
      <c r="T27" s="20" t="s">
        <v>266</v>
      </c>
      <c r="U27" s="2"/>
      <c r="V27" s="20">
        <v>2</v>
      </c>
      <c r="W27" s="2"/>
      <c r="X27" s="20" t="s">
        <v>448</v>
      </c>
      <c r="Y27" s="2"/>
      <c r="Z27" s="20" t="s">
        <v>21</v>
      </c>
      <c r="AA27" s="2"/>
      <c r="AB27" s="2"/>
      <c r="AC27" s="2"/>
      <c r="AD27" s="20" t="s">
        <v>352</v>
      </c>
      <c r="AE27" s="2"/>
      <c r="AF27" s="20" t="s">
        <v>270</v>
      </c>
      <c r="AG27" s="2"/>
      <c r="AH27" s="2"/>
      <c r="AI27" s="20" t="s">
        <v>306</v>
      </c>
      <c r="AJ27" s="2"/>
      <c r="AK27" s="20" t="s">
        <v>449</v>
      </c>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1"/>
      <c r="KM27" s="1"/>
    </row>
    <row r="28" spans="1:299" ht="60" customHeight="1" x14ac:dyDescent="0.25">
      <c r="A28" s="5" t="str">
        <f t="shared" si="1"/>
        <v xml:space="preserve">WHO, (2026) </v>
      </c>
      <c r="B28" s="3" t="str">
        <f t="shared" si="2"/>
        <v>WHO Technical Advisory Group on candidate vaccine prioritization: meeting report, 19 and 25 May 2026</v>
      </c>
      <c r="C28" s="4" t="str">
        <f t="shared" si="3"/>
        <v>Other non-primary, Other grey literature report</v>
      </c>
      <c r="D28" s="4" t="str">
        <f t="shared" si="4"/>
        <v>Bundibugyo</v>
      </c>
      <c r="E28" s="4" t="str">
        <f t="shared" si="5"/>
        <v>Yes</v>
      </c>
      <c r="F28" s="4" t="str">
        <f t="shared" si="6"/>
        <v/>
      </c>
      <c r="G28" s="4" t="str">
        <f t="shared" si="7"/>
        <v/>
      </c>
      <c r="H28" s="4" t="str">
        <f t="shared" si="8"/>
        <v/>
      </c>
      <c r="I28" s="4" t="str">
        <f t="shared" si="9"/>
        <v/>
      </c>
      <c r="J28" s="5" t="str">
        <f t="shared" si="10"/>
        <v/>
      </c>
      <c r="K28" s="5" t="str">
        <f t="shared" si="11"/>
        <v/>
      </c>
      <c r="N28" s="2" t="str">
        <f t="shared" si="12"/>
        <v>https://doi.org/https://doi.org/10.2471/B09771</v>
      </c>
      <c r="O28" s="20">
        <v>65</v>
      </c>
      <c r="P28" s="20" t="s">
        <v>1362</v>
      </c>
      <c r="Q28" s="20" t="s">
        <v>450</v>
      </c>
      <c r="R28" s="20" t="s">
        <v>451</v>
      </c>
      <c r="S28" s="20" t="s">
        <v>452</v>
      </c>
      <c r="T28" s="20" t="s">
        <v>266</v>
      </c>
      <c r="U28" s="2"/>
      <c r="V28" s="20">
        <v>2</v>
      </c>
      <c r="W28" s="2"/>
      <c r="X28" s="20" t="s">
        <v>453</v>
      </c>
      <c r="Y28" s="2"/>
      <c r="Z28" s="20" t="s">
        <v>21</v>
      </c>
      <c r="AA28" s="2"/>
      <c r="AB28" s="2"/>
      <c r="AC28" s="2"/>
      <c r="AD28" s="20" t="s">
        <v>352</v>
      </c>
      <c r="AE28" s="2"/>
      <c r="AF28" s="20" t="s">
        <v>270</v>
      </c>
      <c r="AG28" s="2"/>
      <c r="AH28" s="2"/>
      <c r="AI28" s="20" t="s">
        <v>306</v>
      </c>
      <c r="AJ28" s="2"/>
      <c r="AK28" s="20" t="s">
        <v>449</v>
      </c>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1"/>
      <c r="KM28" s="1"/>
    </row>
    <row r="29" spans="1:299" ht="60" customHeight="1" x14ac:dyDescent="0.25">
      <c r="A29" s="5" t="str">
        <f t="shared" si="1"/>
        <v xml:space="preserve">PHAC, (2026) </v>
      </c>
      <c r="B29" s="3" t="str">
        <f t="shared" si="2"/>
        <v>Rapid risk assessment: Ebola disease caused by Bundibugyo virus in the Democratic Republic of the Congo and Uganda</v>
      </c>
      <c r="C29" s="4" t="str">
        <f t="shared" si="3"/>
        <v>Risk Assessment, Government report</v>
      </c>
      <c r="D29" s="4" t="str">
        <f t="shared" si="4"/>
        <v>Bundibugyo</v>
      </c>
      <c r="E29" s="4" t="str">
        <f t="shared" si="5"/>
        <v>Yes</v>
      </c>
      <c r="F29" s="4" t="str">
        <f t="shared" si="6"/>
        <v>The overall risk level to the Canadian population of acquiring Bundibugyo virus from the ongoing outbreak in the DRC and Uganda is currently low (moderate uncertainty). 
The likelihood of importation of Bundibugyo virus into Canada in the next two weeks is low (moderate uncertainty), given the low travel volume between currently affected regions and Canada, and existing travel advisories that recommend against all travel to the outbreak-affected areas in the DRC due to ongoing safety and security concerns. The impact on an affected individual is estimated to be severe (low uncertainty), given the serious clinical manifestations of BVD, its high case fatality rate and lack of approved vaccines or antivirals.
If importation into Canada were to occur, the impact of BVD on the general population in Canada would be minor (low uncertainty), due to the limited number of secondary cases anticipated among close contacts, strong diagnostic and health system capacity, and existing protocols for outbreak response, case and contact management and infection prevention and control.</v>
      </c>
      <c r="G29" s="4" t="str">
        <f t="shared" si="7"/>
        <v/>
      </c>
      <c r="H29" s="4" t="str">
        <f t="shared" si="8"/>
        <v/>
      </c>
      <c r="I29" s="4" t="str">
        <f t="shared" si="9"/>
        <v/>
      </c>
      <c r="J29" s="5" t="str">
        <f t="shared" si="10"/>
        <v/>
      </c>
      <c r="K29" s="5" t="str">
        <f t="shared" si="11"/>
        <v/>
      </c>
      <c r="N29" s="2" t="str">
        <f t="shared" si="12"/>
        <v>https://www.canada.ca/en/public-health/services/emergency-preparedness-response/rapid-risk-assessments-public-health-professionals/ebola-disease-bundibugyo-virus-democratic-republic-congo-uganda.html</v>
      </c>
      <c r="O29" s="20">
        <v>66</v>
      </c>
      <c r="P29" s="20" t="s">
        <v>1363</v>
      </c>
      <c r="Q29" s="20" t="s">
        <v>454</v>
      </c>
      <c r="R29" s="2"/>
      <c r="S29" s="20" t="s">
        <v>455</v>
      </c>
      <c r="T29" s="20" t="s">
        <v>297</v>
      </c>
      <c r="U29" s="2"/>
      <c r="V29" s="20">
        <v>2</v>
      </c>
      <c r="W29" s="2"/>
      <c r="X29" s="20" t="s">
        <v>455</v>
      </c>
      <c r="Y29" s="2"/>
      <c r="Z29" s="20" t="s">
        <v>21</v>
      </c>
      <c r="AA29" s="2"/>
      <c r="AB29" s="2"/>
      <c r="AC29" s="2"/>
      <c r="AD29" s="20" t="s">
        <v>352</v>
      </c>
      <c r="AE29" s="2"/>
      <c r="AF29" s="20" t="s">
        <v>270</v>
      </c>
      <c r="AG29" s="2"/>
      <c r="AH29" s="2"/>
      <c r="AI29" s="20" t="s">
        <v>437</v>
      </c>
      <c r="AJ29" s="2"/>
      <c r="AK29" s="20" t="s">
        <v>85</v>
      </c>
      <c r="AL29" s="2"/>
      <c r="AM29" s="20" t="s">
        <v>456</v>
      </c>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1"/>
      <c r="KM29" s="1"/>
    </row>
    <row r="30" spans="1:299" ht="60" customHeight="1" x14ac:dyDescent="0.25">
      <c r="A30" s="5" t="str">
        <f t="shared" si="1"/>
        <v xml:space="preserve">, (2026) </v>
      </c>
      <c r="B30" s="3" t="str">
        <f t="shared" si="2"/>
        <v>Evidence Map: Ebola (Bundibugyo): Consolidating and summarising available evidence to support the demonstration of effectiveness of developmental vaccines.</v>
      </c>
      <c r="C30" s="4" t="str">
        <f t="shared" si="3"/>
        <v>Other evidence synthesis, Government report</v>
      </c>
      <c r="D30" s="4" t="str">
        <f t="shared" si="4"/>
        <v>Bundibugyo</v>
      </c>
      <c r="E30" s="4" t="str">
        <f t="shared" si="5"/>
        <v>Yes</v>
      </c>
      <c r="F30" s="4" t="str">
        <f t="shared" si="6"/>
        <v>The Australian Living Evidence Collaboration developed an on-going evidence map that  aims to provide a consolidation and summary of the available evidence to support demonstration of effectiveness of developmental vaccines for protection against priority pathogens. Key foci include clinical symptomology (acute and long-term sequalae), risk factors for severity. diagnostic tools. Details of all studies are mapped.</v>
      </c>
      <c r="G30" s="4" t="str">
        <f t="shared" si="7"/>
        <v>Acute infection characteristics; Long term infection characteristics; Mortality risk factors; Infection immunity measures (Ab, titre, cytokines); Vaccine immunity measures (Ab, titre, cytokines); Hybrid immunity measures (Ab, titre, cytokines); DTA; Mental health</v>
      </c>
      <c r="H30" s="4" t="str">
        <f t="shared" si="8"/>
        <v>Human - General population, Animal - model of disease</v>
      </c>
      <c r="I30" s="4" t="str">
        <f t="shared" si="9"/>
        <v/>
      </c>
      <c r="J30" s="5" t="str">
        <f t="shared" si="10"/>
        <v>* only key studies in humans are extracted below. Details available for human, non-human primates and animal models: 
CLINICAL DATA- ACUTE- SEQUELAE:
Survivors of BDBV exhibited persistent multisystem symptoms, with neurological and musculoskeletal complaints most frequent, headaches (35 %) and visual disturbances (22.5 %). Laboratory findings showed elevated basophils (40 %) and urinary ketones (5 %), indicating possible chronic inflammation and metabolic shifts. Respiratory rates were significantly reduced in survivors (p &lt; 0.001), while other vital signs and biochemical markers were largely within normal ranges. Despite high resilience, 70 % with normal anxiety scores and 62.5 % with normal depression scores, 57.5 % reported persistent stigma.
CLINICAL DATA - LONG-TERM SEQUELAE:
Survivors of the Bundibugyo Ebola virus were at significantly increased risk of ocular deficits (retro-orbital pain [RR 4·3, 95% CI 1·9-9·6; p&lt;0·0001], blurred vision [1·9, 1·1-3·2; p=0·018]), hearing loss (2·3, 1·2-4·5; p=0·010), difficulty swallowing (2·1, 1·1-3·9; p=0·017), difficulty sleeping (1·9, 1·3-2·8; p=0·001), arthralgias (2·0, 1·1-3·6; p=0·020), and various constitutional symptoms controlling for age and sex. Chronic health problems (prevalence ratio [PR] 2·1, 95% CI 1·2-3·6; p=0·008) and limitations due to memory loss or confusion (PR 5·8, 1·5-22·4; p=0·010) were also reported more frequently by survivors of Bundibugyo Ebola virus.
RISK FACTORS- MORTALITY:
Correlation between fatal infection and immune response in BDBV in 44 patient sample found that fatal infection was associated with high levels of viral antigen, low levels of pro-inflammatory cytokines, such as IL-1α, IL-1β, IL-6, TNF-α, and high levels of immunosuppressor cytokines like IL-10. 
IMMUNITY:
Neutralization of antibodies and immune response is categorized and mapped for both previous infection and vaccination from Ebola virus vaccine. 
DIAGNOSTIC TEST ACCRUARY:
Evidence gap map breaks out the different assays used for infection and outcome. Specifically, ELISA, Microneutralization, FRNT/PRNT, Live virus, pseudovirus, Other neutralising assay, ELISPOT, Intracellular cytokine staining, other Tcell assays.</v>
      </c>
      <c r="K30" s="5" t="str">
        <f t="shared" si="11"/>
        <v>An Evidence (gap) Map is a systematic evidence curation tool that displays all the available evidence relevant to a specific research question or topic of interest as a matrix. Bundibugyo virus map 18 May 2026 and end date search 29 May 2026 with consistent updates. 
Questions: What tools and evidence exist, and where are the evidence gaps, in measures of immune response and immunity for MARV, SUDV and EBOV?*  What is an appropriate typology/framework for comprehensive classification of tools and evidence in preclinical vaccine assessment?
The study will address this question by identifying and organising the evidence across the following domains for all pathogens:
-Immunoassay landscape 
-Immune responses and immune protection following infection and vaccination 
-Animal models developed for use in testing vaccine and mAbs candidates 
-Safety, immunogenicity and efficacy data from animal challenge studies
-Clinical safety and immunogenicity data following administration of vaccine and mAbs candidates
PubMed, Embase, Europe PMC.
For Mpox, Lassa and Bundibugyo PubMed and Embase were searched. Europe PMC was not searched in the living update as later pathogens as the initial maps indicated Embase now extensively covers all the major preprint servers
Inclusion criteria (sample provided for MARV) in PICO framework. 
Population
-animal (any)
-human
-serum from animal or human
Intervention/Exposure
-vaccines
-monoclonal antibodies (mAbs)
-natural infection
-infection challenge/lethal challenge
Comparator
-unvaccinated
-untreated
-uninfected
Outcome
-Binding antibodies: binding ELISA, binding-ELISA OD, binding-ELISA endpoint, binding mean fluorescence intensity (MFI), Western Blot
-Neutralising antibodies: Neutralisation – PRNT/FRNT, Microneutralisation, pseudo and live virus
-T cell: T cell ELISPOT, T cell ICS, T cell IGRS, T cell other, CD4, CD8
-B cell
-Viral level: viremia, viral load
-Other infection outcome: hospitalisation, ICU admission, ventilator, relevant other
-survival/death
-safety: adverse effects
Study characteristics:
Include: 
-Marburg virus study
-Assays for detection of antibodies in animal or human sera
-Systematic reviews
Exclude
-Other filovirus studies (Ebola, Ravn, Sudan, Mengla virus)
-Optimising diagnostic assays for detection of viral load
-antiviral drugs
-In vitro assays testing drugs/small molecules
-Characterisation of monoclonal antibodies
Prevalence/epidemiological studies
Modelling studies
Case-studies
Cost-effectiveness studies
Reviews
Editorials, perspectives, commentary
Book chapter
News article
Conference abstracts or dissertations
Other criteria: studies must be available in Englis</v>
      </c>
      <c r="N30" s="2" t="str">
        <f t="shared" si="12"/>
        <v>https://livingevidence.org.au/research-initiatives/about-feeva/evidence-maps/</v>
      </c>
      <c r="O30" s="20">
        <v>67</v>
      </c>
      <c r="P30" s="20" t="s">
        <v>1358</v>
      </c>
      <c r="Q30" s="20" t="s">
        <v>457</v>
      </c>
      <c r="R30" s="2"/>
      <c r="S30" s="20" t="s">
        <v>458</v>
      </c>
      <c r="T30" s="20" t="s">
        <v>297</v>
      </c>
      <c r="U30" s="2"/>
      <c r="V30" s="20" t="s">
        <v>267</v>
      </c>
      <c r="W30" s="2"/>
      <c r="X30" s="20" t="s">
        <v>458</v>
      </c>
      <c r="Y30" s="2"/>
      <c r="Z30" s="20" t="s">
        <v>21</v>
      </c>
      <c r="AA30" s="2"/>
      <c r="AB30" s="2"/>
      <c r="AC30" s="2"/>
      <c r="AD30" s="20" t="s">
        <v>352</v>
      </c>
      <c r="AE30" s="2"/>
      <c r="AF30" s="20" t="s">
        <v>270</v>
      </c>
      <c r="AG30" s="2"/>
      <c r="AH30" s="2"/>
      <c r="AI30" s="20" t="s">
        <v>437</v>
      </c>
      <c r="AJ30" s="2"/>
      <c r="AK30" s="20" t="s">
        <v>354</v>
      </c>
      <c r="AL30" s="2"/>
      <c r="AM30" s="2"/>
      <c r="AN30" s="2"/>
      <c r="AO30" s="2"/>
      <c r="AP30" s="20" t="s">
        <v>459</v>
      </c>
      <c r="AQ30" s="2"/>
      <c r="AR30" s="20" t="s">
        <v>37</v>
      </c>
      <c r="AS30" s="2"/>
      <c r="AT30" s="2"/>
      <c r="AU30" s="2"/>
      <c r="AV30" s="2"/>
      <c r="AW30" s="2"/>
      <c r="AX30" s="2"/>
      <c r="AY30" s="2"/>
      <c r="AZ30" s="2"/>
      <c r="BA30" s="2"/>
      <c r="BB30" s="2"/>
      <c r="BC30" s="2"/>
      <c r="BD30" s="2"/>
      <c r="BE30" s="2"/>
      <c r="BF30" s="2"/>
      <c r="BG30" s="2"/>
      <c r="BH30" s="2"/>
      <c r="BI30" s="2"/>
      <c r="BJ30" s="2"/>
      <c r="BK30" s="2"/>
      <c r="BL30" s="2"/>
      <c r="BM30" s="2"/>
      <c r="BN30" s="20" t="s">
        <v>59</v>
      </c>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0" t="s">
        <v>73</v>
      </c>
      <c r="DA30" s="2"/>
      <c r="DB30" s="2"/>
      <c r="DC30" s="2"/>
      <c r="DD30" s="2"/>
      <c r="DE30" s="2"/>
      <c r="DF30" s="2"/>
      <c r="DG30" s="2"/>
      <c r="DH30" s="2"/>
      <c r="DI30" s="2"/>
      <c r="DJ30" s="2"/>
      <c r="DK30" s="2"/>
      <c r="DL30" s="2"/>
      <c r="DM30" s="2"/>
      <c r="DN30" s="2"/>
      <c r="DO30" s="2"/>
      <c r="DP30" s="2"/>
      <c r="DQ30" s="2"/>
      <c r="DR30" s="2"/>
      <c r="DS30" s="2"/>
      <c r="DT30" s="2"/>
      <c r="DU30" s="2"/>
      <c r="DV30" s="20" t="s">
        <v>73</v>
      </c>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0" t="s">
        <v>73</v>
      </c>
      <c r="EW30" s="2"/>
      <c r="EX30" s="20" t="s">
        <v>141</v>
      </c>
      <c r="EY30" s="2"/>
      <c r="EZ30" s="2"/>
      <c r="FA30" s="2"/>
      <c r="FB30" s="20" t="s">
        <v>145</v>
      </c>
      <c r="FC30" s="2"/>
      <c r="FD30" s="2"/>
      <c r="FE30" s="2"/>
      <c r="FF30" s="2"/>
      <c r="FG30" s="2"/>
      <c r="FH30" s="2"/>
      <c r="FI30" s="2"/>
      <c r="FJ30" s="2"/>
      <c r="FK30" s="2"/>
      <c r="FL30" s="2"/>
      <c r="FM30" s="2"/>
      <c r="FN30" s="20" t="s">
        <v>157</v>
      </c>
      <c r="FO30" s="2"/>
      <c r="FP30" s="2"/>
      <c r="FQ30" s="2"/>
      <c r="FR30" s="2"/>
      <c r="FS30" s="2"/>
      <c r="FT30" s="2"/>
      <c r="FU30" s="2"/>
      <c r="FV30" s="2"/>
      <c r="FW30" s="2"/>
      <c r="FX30" s="2"/>
      <c r="FY30" s="2"/>
      <c r="FZ30" s="20" t="s">
        <v>167</v>
      </c>
      <c r="GA30" s="2"/>
      <c r="GB30" s="20" t="s">
        <v>169</v>
      </c>
      <c r="GC30" s="2"/>
      <c r="GD30" s="20" t="s">
        <v>171</v>
      </c>
      <c r="GE30" s="2"/>
      <c r="GF30" s="2"/>
      <c r="GG30" s="2"/>
      <c r="GH30" s="2"/>
      <c r="GI30" s="2"/>
      <c r="GJ30" s="2"/>
      <c r="GK30" s="2"/>
      <c r="GL30" s="2"/>
      <c r="GM30" s="2"/>
      <c r="GN30" s="2"/>
      <c r="GO30" s="2"/>
      <c r="GP30" s="20" t="s">
        <v>73</v>
      </c>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0" t="s">
        <v>73</v>
      </c>
      <c r="HS30" s="2"/>
      <c r="HT30" s="2"/>
      <c r="HU30" s="2"/>
      <c r="HV30" s="2"/>
      <c r="HW30" s="2"/>
      <c r="HX30" s="2"/>
      <c r="HY30" s="2"/>
      <c r="HZ30" s="2"/>
      <c r="IA30" s="2"/>
      <c r="IB30" s="20" t="s">
        <v>73</v>
      </c>
      <c r="IC30" s="2"/>
      <c r="ID30" s="20" t="s">
        <v>215</v>
      </c>
      <c r="IE30" s="2"/>
      <c r="IF30" s="2"/>
      <c r="IG30" s="2"/>
      <c r="IH30" s="2"/>
      <c r="II30" s="2"/>
      <c r="IJ30" s="2"/>
      <c r="IK30" s="2"/>
      <c r="IL30" s="2"/>
      <c r="IM30" s="2"/>
      <c r="IN30" s="2"/>
      <c r="IO30" s="2"/>
      <c r="IP30" s="2"/>
      <c r="IQ30" s="2"/>
      <c r="IR30" s="2"/>
      <c r="IS30" s="2"/>
      <c r="IT30" s="20" t="s">
        <v>73</v>
      </c>
      <c r="IU30" s="2"/>
      <c r="IV30" s="2"/>
      <c r="IW30" s="2"/>
      <c r="IX30" s="20" t="s">
        <v>73</v>
      </c>
      <c r="IY30" s="2"/>
      <c r="IZ30" s="2"/>
      <c r="JA30" s="2"/>
      <c r="JB30" s="20" t="s">
        <v>73</v>
      </c>
      <c r="JC30" s="2"/>
      <c r="JD30" s="20" t="s">
        <v>233</v>
      </c>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0" t="s">
        <v>73</v>
      </c>
      <c r="KG30" s="2"/>
      <c r="KH30" s="20" t="s">
        <v>460</v>
      </c>
      <c r="KI30" s="2"/>
      <c r="KJ30" s="20" t="s">
        <v>461</v>
      </c>
      <c r="KK30" s="2"/>
      <c r="KL30" s="1"/>
      <c r="KM30" s="1"/>
    </row>
    <row r="31" spans="1:299" ht="60" customHeight="1" x14ac:dyDescent="0.25">
      <c r="A31" s="5" t="str">
        <f t="shared" si="1"/>
        <v xml:space="preserve">WHO, (2026) </v>
      </c>
      <c r="B31" s="3" t="str">
        <f t="shared" si="2"/>
        <v>First meeting of the IHR Emergency Committee regarding the epidemic of Ebola Bundibugyo virus disease in the Democratic Republic of the Congo and Uganda 2026 – Temporary recommendations</v>
      </c>
      <c r="C31" s="4" t="str">
        <f t="shared" si="3"/>
        <v>News, Other grey literature report</v>
      </c>
      <c r="D31" s="4" t="str">
        <f t="shared" si="4"/>
        <v>Bundibugyo</v>
      </c>
      <c r="E31" s="4" t="str">
        <f t="shared" si="5"/>
        <v>Yes</v>
      </c>
      <c r="F31" s="4" t="str">
        <f t="shared" si="6"/>
        <v/>
      </c>
      <c r="G31" s="4" t="str">
        <f t="shared" si="7"/>
        <v/>
      </c>
      <c r="H31" s="4" t="str">
        <f t="shared" si="8"/>
        <v/>
      </c>
      <c r="I31" s="4" t="str">
        <f t="shared" si="9"/>
        <v/>
      </c>
      <c r="J31" s="5" t="str">
        <f t="shared" si="10"/>
        <v/>
      </c>
      <c r="K31" s="5" t="str">
        <f t="shared" si="11"/>
        <v/>
      </c>
      <c r="N31" s="2" t="str">
        <f t="shared" si="12"/>
        <v>https://www.who.int/news/item/22-05-2026-first-meeting-of-the-ihr-emergency-committee-regarding-the-epidemic-of-ebola-bundibugyo-virus-disease-in-the-democratic-republic-of-the-congo-and-uganda-2026-temporary-recommendations</v>
      </c>
      <c r="O31" s="20">
        <v>68</v>
      </c>
      <c r="P31" s="20" t="s">
        <v>1362</v>
      </c>
      <c r="Q31" s="20" t="s">
        <v>462</v>
      </c>
      <c r="R31" s="2"/>
      <c r="S31" s="20" t="s">
        <v>463</v>
      </c>
      <c r="T31" s="20" t="s">
        <v>266</v>
      </c>
      <c r="U31" s="2"/>
      <c r="V31" s="20">
        <v>2</v>
      </c>
      <c r="W31" s="2"/>
      <c r="X31" s="20" t="s">
        <v>463</v>
      </c>
      <c r="Y31" s="2"/>
      <c r="Z31" s="20" t="s">
        <v>21</v>
      </c>
      <c r="AA31" s="2"/>
      <c r="AB31" s="2"/>
      <c r="AC31" s="2"/>
      <c r="AD31" s="20" t="s">
        <v>352</v>
      </c>
      <c r="AE31" s="2"/>
      <c r="AF31" s="20" t="s">
        <v>270</v>
      </c>
      <c r="AG31" s="2"/>
      <c r="AH31" s="2"/>
      <c r="AI31" s="20" t="s">
        <v>306</v>
      </c>
      <c r="AJ31" s="2"/>
      <c r="AK31" s="20" t="s">
        <v>307</v>
      </c>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1"/>
      <c r="KM31" s="1"/>
    </row>
    <row r="32" spans="1:299" ht="60" customHeight="1" x14ac:dyDescent="0.25">
      <c r="A32" s="5" t="str">
        <f t="shared" si="1"/>
        <v xml:space="preserve">ECDC, (2026) </v>
      </c>
      <c r="B32" s="3" t="str">
        <f t="shared" si="2"/>
        <v>Threat assessment brief: Ebola disease outbreak caused by Bundibugyo virus – Democratic Republic of the Congo and Uganda – 2026</v>
      </c>
      <c r="C32" s="4" t="str">
        <f t="shared" si="3"/>
        <v>Risk Assessment, Government report</v>
      </c>
      <c r="D32" s="4" t="str">
        <f t="shared" si="4"/>
        <v>Bundibugyo</v>
      </c>
      <c r="E32" s="4" t="str">
        <f t="shared" si="5"/>
        <v>Yes</v>
      </c>
      <c r="F32" s="4" t="str">
        <f t="shared" si="6"/>
        <v>The likelihood of secondary transmission of BDBV within the EU/EEA and the occurrence of sustained chains of transmission within the EU/EEA is considered very low, as cases are likely to be promptly identified and isolated and recommended control measures would be implemented. Although BDBV infection can cause severe disease in affected individuals, the population-level public health impact in the EU/EEA is expected to be very low because only very few cases would occur. Therefore, the overall current risk of BDBV for the general population in the EU/EEA is assessed to be very low.
Recommendations for standard operating procedures on isolation are also provided.</v>
      </c>
      <c r="G32" s="4" t="str">
        <f t="shared" si="7"/>
        <v/>
      </c>
      <c r="H32" s="4" t="str">
        <f t="shared" si="8"/>
        <v/>
      </c>
      <c r="I32" s="4" t="str">
        <f t="shared" si="9"/>
        <v/>
      </c>
      <c r="J32" s="5" t="str">
        <f t="shared" si="10"/>
        <v/>
      </c>
      <c r="K32" s="5" t="str">
        <f t="shared" si="11"/>
        <v/>
      </c>
      <c r="N32" s="2" t="str">
        <f t="shared" si="12"/>
        <v>https://www.ecdc.europa.eu/en/publications-data/threat-assessment-brief-ebola-disease-outbreak-caused-bundibugyo-virus-democratic</v>
      </c>
      <c r="O32" s="20">
        <v>69</v>
      </c>
      <c r="P32" s="20" t="s">
        <v>1364</v>
      </c>
      <c r="Q32" s="20" t="s">
        <v>464</v>
      </c>
      <c r="R32" s="2"/>
      <c r="S32" s="20" t="s">
        <v>465</v>
      </c>
      <c r="T32" s="20" t="s">
        <v>297</v>
      </c>
      <c r="U32" s="2"/>
      <c r="V32" s="20">
        <v>2</v>
      </c>
      <c r="W32" s="2"/>
      <c r="X32" s="20" t="s">
        <v>465</v>
      </c>
      <c r="Y32" s="2"/>
      <c r="Z32" s="20" t="s">
        <v>21</v>
      </c>
      <c r="AA32" s="2"/>
      <c r="AB32" s="2"/>
      <c r="AC32" s="2"/>
      <c r="AD32" s="20" t="s">
        <v>352</v>
      </c>
      <c r="AE32" s="2"/>
      <c r="AF32" s="20" t="s">
        <v>270</v>
      </c>
      <c r="AG32" s="2"/>
      <c r="AH32" s="2"/>
      <c r="AI32" s="20" t="s">
        <v>437</v>
      </c>
      <c r="AJ32" s="2"/>
      <c r="AK32" s="20" t="s">
        <v>85</v>
      </c>
      <c r="AL32" s="2"/>
      <c r="AM32" s="20" t="s">
        <v>466</v>
      </c>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1"/>
      <c r="KM32" s="1"/>
    </row>
    <row r="33" spans="1:299" ht="60" customHeight="1" x14ac:dyDescent="0.25">
      <c r="A33" s="5" t="str">
        <f t="shared" si="1"/>
        <v xml:space="preserve">PAHO, (2026) </v>
      </c>
      <c r="B33" s="3" t="str">
        <f t="shared" si="2"/>
        <v>Epidemiological Alert - Ebola Disease due to Bundibugyo virus in the Democratic Republic of the Congo and Uganda - 21 May 2026</v>
      </c>
      <c r="C33" s="4" t="str">
        <f t="shared" si="3"/>
        <v>Guideline, Government report</v>
      </c>
      <c r="D33" s="4" t="str">
        <f t="shared" si="4"/>
        <v>Bundibugyo</v>
      </c>
      <c r="E33" s="4" t="str">
        <f t="shared" si="5"/>
        <v>Yes</v>
      </c>
      <c r="F33" s="4" t="str">
        <f t="shared" si="6"/>
        <v>The purpose of this Epidemiological Alert is to provide Member States with updated guidance on laboratory diagnosis, infection prevention and control (IPC), and clinical management in the context of the Ebola situation in the Democratic Republic of the Congo and Uganda.</v>
      </c>
      <c r="G33" s="4" t="str">
        <f t="shared" si="7"/>
        <v/>
      </c>
      <c r="H33" s="4" t="str">
        <f t="shared" si="8"/>
        <v/>
      </c>
      <c r="I33" s="4" t="str">
        <f t="shared" si="9"/>
        <v/>
      </c>
      <c r="J33" s="5" t="str">
        <f t="shared" si="10"/>
        <v/>
      </c>
      <c r="K33" s="5" t="str">
        <f t="shared" si="11"/>
        <v/>
      </c>
      <c r="N33" s="2" t="str">
        <f t="shared" si="12"/>
        <v>https://www.paho.org/en/documents/epidemiological-alert-ebola-disease-due-bundibugyo-virus-democratic-republic-congo-and</v>
      </c>
      <c r="O33" s="20">
        <v>70</v>
      </c>
      <c r="P33" s="20" t="s">
        <v>1365</v>
      </c>
      <c r="Q33" s="20" t="s">
        <v>467</v>
      </c>
      <c r="R33" s="2"/>
      <c r="S33" s="20" t="s">
        <v>468</v>
      </c>
      <c r="T33" s="20" t="s">
        <v>266</v>
      </c>
      <c r="U33" s="2"/>
      <c r="V33" s="20">
        <v>2</v>
      </c>
      <c r="W33" s="2"/>
      <c r="X33" s="20" t="s">
        <v>468</v>
      </c>
      <c r="Y33" s="2"/>
      <c r="Z33" s="20" t="s">
        <v>21</v>
      </c>
      <c r="AA33" s="2"/>
      <c r="AB33" s="2"/>
      <c r="AC33" s="2"/>
      <c r="AD33" s="20" t="s">
        <v>352</v>
      </c>
      <c r="AE33" s="2"/>
      <c r="AF33" s="20" t="s">
        <v>270</v>
      </c>
      <c r="AG33" s="2"/>
      <c r="AH33" s="2"/>
      <c r="AI33" s="20" t="s">
        <v>437</v>
      </c>
      <c r="AJ33" s="2"/>
      <c r="AK33" s="20" t="s">
        <v>438</v>
      </c>
      <c r="AL33" s="2"/>
      <c r="AM33" s="20" t="s">
        <v>469</v>
      </c>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1"/>
      <c r="KM33" s="1"/>
    </row>
    <row r="34" spans="1:299" ht="60" customHeight="1" x14ac:dyDescent="0.25">
      <c r="A34" s="5" t="str">
        <f t="shared" si="1"/>
        <v xml:space="preserve">PAHO, (2026) </v>
      </c>
      <c r="B34" s="3" t="str">
        <f t="shared" si="2"/>
        <v>Public Health Emergency of International Concern (PHEIC) related to Bundibugyo virus disease in the Democratic Republic of the Congo and Uganda. Implications for the Americas Region - 17 May 2026</v>
      </c>
      <c r="C34" s="4" t="str">
        <f t="shared" si="3"/>
        <v>Guideline, Government report</v>
      </c>
      <c r="D34" s="4" t="str">
        <f t="shared" si="4"/>
        <v>Bundibugyo</v>
      </c>
      <c r="E34" s="4" t="str">
        <f t="shared" si="5"/>
        <v>Yes</v>
      </c>
      <c r="F34" s="4" t="str">
        <f t="shared" si="6"/>
        <v>PAHO also recommends that Member States strengthen surveillance for the early detection of suspected cases, especially in people with a history of travel or exposure in affected or at-risk areas. It is recommended to reinforce infection, prevention and control measures in health care settings, including triage, isolation, proper use of personal protective equipment (PPE), training of health care personnel, safe waste-management, environmental cleaning and disinfection, and monitoring of occupational exposures.  It is recommended to strengthen risk communication and community engagement, with clear messages on signs and symptoms, seeking preemptive care, prevention of exposure to bodily fluids, and safe and dignified burial practices.</v>
      </c>
      <c r="G34" s="4" t="str">
        <f t="shared" si="7"/>
        <v/>
      </c>
      <c r="H34" s="4" t="str">
        <f t="shared" si="8"/>
        <v/>
      </c>
      <c r="I34" s="4" t="str">
        <f t="shared" si="9"/>
        <v/>
      </c>
      <c r="J34" s="5" t="str">
        <f t="shared" si="10"/>
        <v/>
      </c>
      <c r="K34" s="5" t="str">
        <f t="shared" si="11"/>
        <v/>
      </c>
      <c r="N34" s="2" t="str">
        <f t="shared" si="12"/>
        <v>https://www.paho.org/en/documents/public-health-emergency-international-concern-pheic-related-bundibugyo-virus-disease</v>
      </c>
      <c r="O34" s="20">
        <v>72</v>
      </c>
      <c r="P34" s="20" t="s">
        <v>1365</v>
      </c>
      <c r="Q34" s="20" t="s">
        <v>470</v>
      </c>
      <c r="R34" s="2"/>
      <c r="S34" s="20" t="s">
        <v>471</v>
      </c>
      <c r="T34" s="20" t="s">
        <v>297</v>
      </c>
      <c r="U34" s="2"/>
      <c r="V34" s="20">
        <v>2</v>
      </c>
      <c r="W34" s="2"/>
      <c r="X34" s="20" t="s">
        <v>471</v>
      </c>
      <c r="Y34" s="2"/>
      <c r="Z34" s="20" t="s">
        <v>21</v>
      </c>
      <c r="AA34" s="2"/>
      <c r="AB34" s="2"/>
      <c r="AC34" s="2"/>
      <c r="AD34" s="20" t="s">
        <v>352</v>
      </c>
      <c r="AE34" s="2"/>
      <c r="AF34" s="20" t="s">
        <v>270</v>
      </c>
      <c r="AG34" s="2"/>
      <c r="AH34" s="2"/>
      <c r="AI34" s="20" t="s">
        <v>437</v>
      </c>
      <c r="AJ34" s="2"/>
      <c r="AK34" s="20" t="s">
        <v>438</v>
      </c>
      <c r="AL34" s="2"/>
      <c r="AM34" s="20" t="s">
        <v>472</v>
      </c>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1"/>
      <c r="KM34" s="1"/>
    </row>
    <row r="35" spans="1:299" ht="60" customHeight="1" x14ac:dyDescent="0.25">
      <c r="A35" s="5" t="str">
        <f t="shared" si="1"/>
        <v xml:space="preserve">PHO, (2026) </v>
      </c>
      <c r="B35" s="3" t="str">
        <f t="shared" si="2"/>
        <v>Viral Hemorrhagic Fever (VHF) Viruses (e.g. Ebola, Marburg, Lassa, Crimean-Congo) – PCR</v>
      </c>
      <c r="C35" s="4" t="str">
        <f t="shared" si="3"/>
        <v>Guideline, Government report</v>
      </c>
      <c r="D35" s="4" t="str">
        <f t="shared" si="4"/>
        <v>Bundibugyo</v>
      </c>
      <c r="E35" s="4" t="str">
        <f t="shared" si="5"/>
        <v>No</v>
      </c>
      <c r="F35" s="4" t="str">
        <f t="shared" si="6"/>
        <v>This page details laboratory procedures for testing high-risk Viral Hemorrhagic Fever (VHF) viruses, including Orthoebolaviruses (Bundibugyo virus, Ebola virus, and Sudan virus), with strict adherence to federal regulations and safety protocols. It emphasizes the need for clinical risk assessment, consultation with health authorities, and the use of specific diagnostic methods like RT-PCR to ensure accurate identification and reporting of VHF cases..</v>
      </c>
      <c r="G35" s="4" t="str">
        <f t="shared" si="7"/>
        <v/>
      </c>
      <c r="H35" s="4" t="str">
        <f t="shared" si="8"/>
        <v/>
      </c>
      <c r="I35" s="4" t="str">
        <f t="shared" si="9"/>
        <v/>
      </c>
      <c r="J35" s="5" t="str">
        <f t="shared" si="10"/>
        <v/>
      </c>
      <c r="K35" s="5" t="str">
        <f t="shared" si="11"/>
        <v/>
      </c>
      <c r="N35" s="2" t="str">
        <f t="shared" si="12"/>
        <v>https://www.publichealthontario.ca/en/Laboratory-Services/Test-Information-Index/VHF-Diagnostic-Serology</v>
      </c>
      <c r="O35" s="20">
        <v>73</v>
      </c>
      <c r="P35" s="20" t="s">
        <v>1366</v>
      </c>
      <c r="Q35" s="20" t="s">
        <v>473</v>
      </c>
      <c r="R35" s="2"/>
      <c r="S35" s="20" t="s">
        <v>474</v>
      </c>
      <c r="T35" s="20" t="s">
        <v>266</v>
      </c>
      <c r="U35" s="2"/>
      <c r="V35" s="20">
        <v>2</v>
      </c>
      <c r="W35" s="2"/>
      <c r="X35" s="20" t="s">
        <v>474</v>
      </c>
      <c r="Y35" s="2"/>
      <c r="Z35" s="20" t="s">
        <v>21</v>
      </c>
      <c r="AA35" s="2"/>
      <c r="AB35" s="2"/>
      <c r="AC35" s="2"/>
      <c r="AD35" s="20" t="s">
        <v>269</v>
      </c>
      <c r="AE35" s="2"/>
      <c r="AF35" s="20" t="s">
        <v>270</v>
      </c>
      <c r="AG35" s="2"/>
      <c r="AH35" s="2"/>
      <c r="AI35" s="20" t="s">
        <v>437</v>
      </c>
      <c r="AJ35" s="2"/>
      <c r="AK35" s="20" t="s">
        <v>438</v>
      </c>
      <c r="AL35" s="2"/>
      <c r="AM35" s="20" t="s">
        <v>475</v>
      </c>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1"/>
      <c r="KM35" s="1"/>
    </row>
    <row r="36" spans="1:299" ht="60" customHeight="1" x14ac:dyDescent="0.25">
      <c r="A36" s="5" t="str">
        <f t="shared" si="1"/>
        <v xml:space="preserve">WHO, (2026) </v>
      </c>
      <c r="B36" s="3" t="str">
        <f t="shared" si="2"/>
        <v>WHO guidance for mass gathering events attended by individuals from areas with documented Bundibugyo virus detection, May 2026</v>
      </c>
      <c r="C36" s="4" t="str">
        <f t="shared" si="3"/>
        <v>Guideline, Government report</v>
      </c>
      <c r="D36" s="4" t="str">
        <f t="shared" si="4"/>
        <v>Bundibugyo</v>
      </c>
      <c r="E36" s="4" t="str">
        <f t="shared" si="5"/>
        <v>Yes</v>
      </c>
      <c r="F36" s="4" t="str">
        <f t="shared" si="6"/>
        <v>The guidance outlines key preparedness and response actions for organizers and public health authorities before, during, and after mass gatherings. It highlights the need for thorough risk assessment, surveillance, screening, laboratory confirmation, isolation procedures, and coordinated actions under the International Health Regulations (2005). It also provides operational recommendations on communication, participant information, cross‑border collaboration, and post‑event evaluation to manage health risks during BVD outbreaks.</v>
      </c>
      <c r="G36" s="4" t="str">
        <f t="shared" si="7"/>
        <v/>
      </c>
      <c r="H36" s="4" t="str">
        <f t="shared" si="8"/>
        <v/>
      </c>
      <c r="I36" s="4" t="str">
        <f t="shared" si="9"/>
        <v/>
      </c>
      <c r="J36" s="5" t="str">
        <f t="shared" si="10"/>
        <v/>
      </c>
      <c r="K36" s="5" t="str">
        <f t="shared" si="11"/>
        <v/>
      </c>
      <c r="N36" s="2" t="str">
        <f t="shared" si="12"/>
        <v>https://doi.org/rg/10.2471/B09770.</v>
      </c>
      <c r="O36" s="20">
        <v>78</v>
      </c>
      <c r="P36" s="20" t="s">
        <v>1362</v>
      </c>
      <c r="Q36" s="20" t="s">
        <v>476</v>
      </c>
      <c r="R36" s="20" t="s">
        <v>477</v>
      </c>
      <c r="S36" s="20" t="s">
        <v>478</v>
      </c>
      <c r="T36" s="20" t="s">
        <v>297</v>
      </c>
      <c r="U36" s="2"/>
      <c r="V36" s="20">
        <v>2</v>
      </c>
      <c r="W36" s="2"/>
      <c r="X36" s="20" t="s">
        <v>478</v>
      </c>
      <c r="Y36" s="2"/>
      <c r="Z36" s="20" t="s">
        <v>21</v>
      </c>
      <c r="AA36" s="2"/>
      <c r="AB36" s="2"/>
      <c r="AC36" s="2"/>
      <c r="AD36" s="20" t="s">
        <v>352</v>
      </c>
      <c r="AE36" s="2"/>
      <c r="AF36" s="20" t="s">
        <v>270</v>
      </c>
      <c r="AG36" s="2"/>
      <c r="AH36" s="2"/>
      <c r="AI36" s="20" t="s">
        <v>437</v>
      </c>
      <c r="AJ36" s="2"/>
      <c r="AK36" s="20" t="s">
        <v>438</v>
      </c>
      <c r="AL36" s="2"/>
      <c r="AM36" s="20" t="s">
        <v>479</v>
      </c>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1"/>
      <c r="KM36" s="1"/>
    </row>
    <row r="37" spans="1:299" ht="60" customHeight="1" x14ac:dyDescent="0.25">
      <c r="A37" s="5" t="str">
        <f t="shared" si="1"/>
        <v>Haider, et al, (2026), International journal of infectious diseases : IJID : official publication of the International Society for Infectious Diseases</v>
      </c>
      <c r="B37" s="3" t="str">
        <f t="shared" si="2"/>
        <v>Beyond past Ebola outbreaks: delayed detection, preparedness gaps, and the vaccine race during the 2026 Bundibugyo virus outbreak</v>
      </c>
      <c r="C37" s="4" t="str">
        <f t="shared" si="3"/>
        <v>Commentary, Peer-reviewed publication</v>
      </c>
      <c r="D37" s="4" t="str">
        <f t="shared" si="4"/>
        <v>Bundibugyo</v>
      </c>
      <c r="E37" s="4" t="str">
        <f t="shared" si="5"/>
        <v>Yes</v>
      </c>
      <c r="F37" s="4" t="str">
        <f t="shared" si="6"/>
        <v/>
      </c>
      <c r="G37" s="4" t="str">
        <f t="shared" si="7"/>
        <v/>
      </c>
      <c r="H37" s="4" t="str">
        <f t="shared" si="8"/>
        <v/>
      </c>
      <c r="I37" s="4" t="str">
        <f t="shared" si="9"/>
        <v/>
      </c>
      <c r="J37" s="5" t="str">
        <f t="shared" si="10"/>
        <v/>
      </c>
      <c r="K37" s="5" t="str">
        <f t="shared" si="11"/>
        <v/>
      </c>
      <c r="N37" s="2" t="str">
        <f t="shared" si="12"/>
        <v>https://doi.org/10.1016/j.ijid.2026.108843</v>
      </c>
      <c r="O37" s="20">
        <v>83</v>
      </c>
      <c r="P37" s="20" t="s">
        <v>480</v>
      </c>
      <c r="Q37" s="20" t="s">
        <v>481</v>
      </c>
      <c r="R37" s="20" t="s">
        <v>482</v>
      </c>
      <c r="S37" s="20" t="s">
        <v>483</v>
      </c>
      <c r="T37" s="20" t="s">
        <v>433</v>
      </c>
      <c r="U37" s="2"/>
      <c r="V37" s="20">
        <v>2</v>
      </c>
      <c r="W37" s="2"/>
      <c r="X37" s="20" t="s">
        <v>484</v>
      </c>
      <c r="Y37" s="2"/>
      <c r="Z37" s="20" t="s">
        <v>21</v>
      </c>
      <c r="AA37" s="2"/>
      <c r="AB37" s="2"/>
      <c r="AC37" s="2"/>
      <c r="AD37" s="20" t="s">
        <v>352</v>
      </c>
      <c r="AE37" s="2"/>
      <c r="AF37" s="20" t="s">
        <v>270</v>
      </c>
      <c r="AG37" s="2"/>
      <c r="AH37" s="2"/>
      <c r="AI37" s="20" t="s">
        <v>271</v>
      </c>
      <c r="AJ37" s="2"/>
      <c r="AK37" s="20" t="s">
        <v>425</v>
      </c>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1"/>
      <c r="KM37" s="1"/>
    </row>
    <row r="38" spans="1:299" ht="60" customHeight="1" x14ac:dyDescent="0.25">
      <c r="A38" s="5" t="str">
        <f t="shared" si="1"/>
        <v>Mwamba, et al, (2026), Lancet (London, England)</v>
      </c>
      <c r="B38" s="3" t="str">
        <f t="shared" si="2"/>
        <v>Bundibugyo virus disease outbreak in Ituri, Democratic Republic of the Congo</v>
      </c>
      <c r="C38" s="4" t="str">
        <f t="shared" si="3"/>
        <v>Primary - short communication, Observational, Peer-reviewed publication</v>
      </c>
      <c r="D38" s="4" t="str">
        <f t="shared" si="4"/>
        <v>Bundibugyo</v>
      </c>
      <c r="E38" s="4" t="str">
        <f t="shared" si="5"/>
        <v>Yes</v>
      </c>
      <c r="F38" s="4" t="str">
        <f t="shared" si="6"/>
        <v>As of May 21, 2026, the Democratic Republic of the Congo National Public Health Institute reported 82 laboratory-confirmed cases, of which seven led to death; 668 suspected cases, of which 171 led to death, were under investigation for final classification. In total, 750 confirmed or suspected cases, of which 178 resulted in death, have been reported, leading to a 23·7% crude case-fatality rate.</v>
      </c>
      <c r="G38" s="4" t="str">
        <f t="shared" si="7"/>
        <v>Incidence / prevalence; Mortality</v>
      </c>
      <c r="H38" s="4" t="str">
        <f t="shared" si="8"/>
        <v>Human - General population</v>
      </c>
      <c r="I38" s="4" t="str">
        <f t="shared" si="9"/>
        <v/>
      </c>
      <c r="J38" s="5" t="str">
        <f t="shared" si="10"/>
        <v>EPIDEMIOLOGICAL PARAMETER - Incidence/prevalence of disease: As of May 21, 2026, the Democratic Republic of the Congo National Public Health Institute reported 82 laboratory-confirmed cases, of which seven led to death; 668 suspected cases, of which 171 led to death, were under investigation for final classification. 
CLINICAL DATA - Mortality: In total, 750 confirmed or suspected cases, of which 178 resulted in death, have been reported, leading to a 23·7% crude case-fatality rate.</v>
      </c>
      <c r="K38" s="5" t="str">
        <f t="shared" si="11"/>
        <v>This correspondence provides an update by the Democratic Republic of the Congo National Public Health Institute on the epidemiological situation of the Bundibugyo virus disease outbreak. They also provide a link to updated summary data on the outbreak  (https://insp.cd/sitrep-mve-n-010-2026/)</v>
      </c>
      <c r="N38" s="2" t="str">
        <f t="shared" si="12"/>
        <v>https://doi.org/10.1016/s0140-6736(26)01072-x</v>
      </c>
      <c r="O38" s="20">
        <v>84</v>
      </c>
      <c r="P38" s="20" t="s">
        <v>485</v>
      </c>
      <c r="Q38" s="20" t="s">
        <v>486</v>
      </c>
      <c r="R38" s="20" t="s">
        <v>487</v>
      </c>
      <c r="S38" s="20" t="s">
        <v>488</v>
      </c>
      <c r="T38" s="20" t="s">
        <v>433</v>
      </c>
      <c r="U38" s="2"/>
      <c r="V38" s="20" t="s">
        <v>267</v>
      </c>
      <c r="W38" s="2"/>
      <c r="X38" s="20" t="s">
        <v>489</v>
      </c>
      <c r="Y38" s="2"/>
      <c r="Z38" s="20" t="s">
        <v>21</v>
      </c>
      <c r="AA38" s="2"/>
      <c r="AB38" s="2"/>
      <c r="AC38" s="2"/>
      <c r="AD38" s="20" t="s">
        <v>352</v>
      </c>
      <c r="AE38" s="2"/>
      <c r="AF38" s="20" t="s">
        <v>270</v>
      </c>
      <c r="AG38" s="2"/>
      <c r="AH38" s="2"/>
      <c r="AI38" s="20" t="s">
        <v>271</v>
      </c>
      <c r="AJ38" s="2"/>
      <c r="AK38" s="20" t="s">
        <v>490</v>
      </c>
      <c r="AL38" s="2"/>
      <c r="AM38" s="2"/>
      <c r="AN38" s="2"/>
      <c r="AO38" s="2"/>
      <c r="AP38" s="20" t="s">
        <v>491</v>
      </c>
      <c r="AQ38" s="2"/>
      <c r="AR38" s="20" t="s">
        <v>37</v>
      </c>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0" t="s">
        <v>75</v>
      </c>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0" t="s">
        <v>73</v>
      </c>
      <c r="DW38" s="2"/>
      <c r="DX38" s="20" t="s">
        <v>117</v>
      </c>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0" t="s">
        <v>149</v>
      </c>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0" t="s">
        <v>73</v>
      </c>
      <c r="GG38" s="2"/>
      <c r="GH38" s="2"/>
      <c r="GI38" s="2"/>
      <c r="GJ38" s="2"/>
      <c r="GK38" s="2"/>
      <c r="GL38" s="2"/>
      <c r="GM38" s="2"/>
      <c r="GN38" s="2"/>
      <c r="GO38" s="2"/>
      <c r="GP38" s="20" t="s">
        <v>73</v>
      </c>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0" t="s">
        <v>73</v>
      </c>
      <c r="HS38" s="2"/>
      <c r="HT38" s="2"/>
      <c r="HU38" s="2"/>
      <c r="HV38" s="2"/>
      <c r="HW38" s="2"/>
      <c r="HX38" s="2"/>
      <c r="HY38" s="2"/>
      <c r="HZ38" s="2"/>
      <c r="IA38" s="2"/>
      <c r="IB38" s="20" t="s">
        <v>73</v>
      </c>
      <c r="IC38" s="2"/>
      <c r="ID38" s="2"/>
      <c r="IE38" s="2"/>
      <c r="IF38" s="2"/>
      <c r="IG38" s="2"/>
      <c r="IH38" s="2"/>
      <c r="II38" s="2"/>
      <c r="IJ38" s="20" t="s">
        <v>73</v>
      </c>
      <c r="IK38" s="2"/>
      <c r="IL38" s="2"/>
      <c r="IM38" s="2"/>
      <c r="IN38" s="2"/>
      <c r="IO38" s="2"/>
      <c r="IP38" s="2"/>
      <c r="IQ38" s="2"/>
      <c r="IR38" s="2"/>
      <c r="IS38" s="2"/>
      <c r="IT38" s="20" t="s">
        <v>73</v>
      </c>
      <c r="IU38" s="2"/>
      <c r="IV38" s="2"/>
      <c r="IW38" s="2"/>
      <c r="IX38" s="20" t="s">
        <v>73</v>
      </c>
      <c r="IY38" s="2"/>
      <c r="IZ38" s="2"/>
      <c r="JA38" s="2"/>
      <c r="JB38" s="20" t="s">
        <v>73</v>
      </c>
      <c r="JC38" s="2"/>
      <c r="JD38" s="2"/>
      <c r="JE38" s="2"/>
      <c r="JF38" s="20" t="s">
        <v>73</v>
      </c>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0" t="s">
        <v>73</v>
      </c>
      <c r="KG38" s="2"/>
      <c r="KH38" s="20" t="s">
        <v>492</v>
      </c>
      <c r="KI38" s="2"/>
      <c r="KJ38" s="20" t="s">
        <v>493</v>
      </c>
      <c r="KK38" s="2"/>
      <c r="KL38" s="1"/>
      <c r="KM38" s="1"/>
    </row>
    <row r="39" spans="1:299" ht="60" customHeight="1" x14ac:dyDescent="0.25">
      <c r="A39" s="5" t="str">
        <f t="shared" si="1"/>
        <v xml:space="preserve">ECDC, (2026) </v>
      </c>
      <c r="B39" s="3" t="str">
        <f t="shared" si="2"/>
        <v>Risk assessment guidelines for infectious diseases transmitted on aircraft (RAGIDA) – Ebola disease update</v>
      </c>
      <c r="C39" s="4" t="str">
        <f t="shared" si="3"/>
        <v>Risk Assessment, Government report</v>
      </c>
      <c r="D39" s="4" t="str">
        <f t="shared" si="4"/>
        <v>Bundibugyo</v>
      </c>
      <c r="E39" s="4" t="str">
        <f t="shared" si="5"/>
        <v>Yes</v>
      </c>
      <c r="F39" s="4" t="str">
        <f t="shared" si="6"/>
        <v>This updated information is intended to support public health authorities and other competent national authorities in European Union/European Economic Area countries by providing actions to consider after the identification of a suspected or confirmed Ebola disease case during or after a flight.</v>
      </c>
      <c r="G39" s="4" t="str">
        <f t="shared" si="7"/>
        <v/>
      </c>
      <c r="H39" s="4" t="str">
        <f t="shared" si="8"/>
        <v/>
      </c>
      <c r="I39" s="4" t="str">
        <f t="shared" si="9"/>
        <v/>
      </c>
      <c r="J39" s="5" t="str">
        <f t="shared" si="10"/>
        <v/>
      </c>
      <c r="K39" s="5" t="str">
        <f t="shared" si="11"/>
        <v/>
      </c>
      <c r="N39" s="2" t="str">
        <f t="shared" si="12"/>
        <v>https://www.ecdc.europa.eu/en/publications-data/risk-assessment-guidelines-infectious-diseases-transmitted-aircraft-ragida-ebola</v>
      </c>
      <c r="O39" s="20">
        <v>88</v>
      </c>
      <c r="P39" s="20" t="s">
        <v>1364</v>
      </c>
      <c r="Q39" s="20" t="s">
        <v>494</v>
      </c>
      <c r="R39" s="2"/>
      <c r="S39" s="20" t="s">
        <v>495</v>
      </c>
      <c r="T39" s="20" t="s">
        <v>297</v>
      </c>
      <c r="U39" s="2"/>
      <c r="V39" s="20">
        <v>2</v>
      </c>
      <c r="W39" s="2"/>
      <c r="X39" s="20" t="s">
        <v>495</v>
      </c>
      <c r="Y39" s="2"/>
      <c r="Z39" s="20" t="s">
        <v>21</v>
      </c>
      <c r="AA39" s="2"/>
      <c r="AB39" s="2"/>
      <c r="AC39" s="2"/>
      <c r="AD39" s="20" t="s">
        <v>352</v>
      </c>
      <c r="AE39" s="2"/>
      <c r="AF39" s="20" t="s">
        <v>270</v>
      </c>
      <c r="AG39" s="2"/>
      <c r="AH39" s="2"/>
      <c r="AI39" s="20" t="s">
        <v>437</v>
      </c>
      <c r="AJ39" s="2"/>
      <c r="AK39" s="20" t="s">
        <v>85</v>
      </c>
      <c r="AL39" s="2"/>
      <c r="AM39" s="20" t="s">
        <v>496</v>
      </c>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1"/>
      <c r="KM39" s="1"/>
    </row>
    <row r="40" spans="1:299" ht="60" customHeight="1" x14ac:dyDescent="0.25">
      <c r="A40" s="5" t="str">
        <f t="shared" si="1"/>
        <v>Gupta, et al, (2026), Clinical Microbiology &amp; Infection</v>
      </c>
      <c r="B40" s="3" t="str">
        <f t="shared" si="2"/>
        <v>Bundibugyo ebolavirus outbreak in the Democratic Republic of the Congo and Uganda: rapid assessment from the ESCMID Emerging Infections Subcommittee</v>
      </c>
      <c r="C40" s="4" t="str">
        <f t="shared" si="3"/>
        <v>Commentary, Peer-reviewed publication</v>
      </c>
      <c r="D40" s="4" t="str">
        <f t="shared" si="4"/>
        <v>Bundibugyo</v>
      </c>
      <c r="E40" s="4" t="str">
        <f t="shared" si="5"/>
        <v>Yes</v>
      </c>
      <c r="F40" s="4" t="str">
        <f t="shared" si="6"/>
        <v/>
      </c>
      <c r="G40" s="4" t="str">
        <f t="shared" si="7"/>
        <v/>
      </c>
      <c r="H40" s="4" t="str">
        <f t="shared" si="8"/>
        <v/>
      </c>
      <c r="I40" s="4" t="str">
        <f t="shared" si="9"/>
        <v/>
      </c>
      <c r="J40" s="5" t="str">
        <f t="shared" si="10"/>
        <v/>
      </c>
      <c r="K40" s="5" t="str">
        <f t="shared" si="11"/>
        <v/>
      </c>
      <c r="N40" s="2" t="str">
        <f t="shared" si="12"/>
        <v>https://doi.org/10.1016/j.cmi.2026.05.042</v>
      </c>
      <c r="O40" s="20">
        <v>90</v>
      </c>
      <c r="P40" s="20" t="s">
        <v>497</v>
      </c>
      <c r="Q40" s="20" t="s">
        <v>498</v>
      </c>
      <c r="R40" s="20" t="s">
        <v>499</v>
      </c>
      <c r="S40" s="20" t="s">
        <v>500</v>
      </c>
      <c r="T40" s="20" t="s">
        <v>433</v>
      </c>
      <c r="U40" s="2"/>
      <c r="V40" s="20">
        <v>2</v>
      </c>
      <c r="W40" s="2"/>
      <c r="X40" s="20" t="s">
        <v>501</v>
      </c>
      <c r="Y40" s="2"/>
      <c r="Z40" s="20" t="s">
        <v>21</v>
      </c>
      <c r="AA40" s="2"/>
      <c r="AB40" s="2"/>
      <c r="AC40" s="2"/>
      <c r="AD40" s="20" t="s">
        <v>352</v>
      </c>
      <c r="AE40" s="2"/>
      <c r="AF40" s="20" t="s">
        <v>270</v>
      </c>
      <c r="AG40" s="2"/>
      <c r="AH40" s="2"/>
      <c r="AI40" s="20" t="s">
        <v>271</v>
      </c>
      <c r="AJ40" s="2"/>
      <c r="AK40" s="20" t="s">
        <v>425</v>
      </c>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1"/>
      <c r="KM40" s="1"/>
    </row>
    <row r="41" spans="1:299" ht="60" customHeight="1" x14ac:dyDescent="0.25">
      <c r="A41" s="5" t="str">
        <f t="shared" si="1"/>
        <v>Schweitzer, et al, (2026), JAMA</v>
      </c>
      <c r="B41" s="3" t="str">
        <f t="shared" si="2"/>
        <v>A Rare Ebola Virus Is Spreading in the DRC-Here's What to Know</v>
      </c>
      <c r="C41" s="4" t="str">
        <f t="shared" si="3"/>
        <v>News, Other grey literature report</v>
      </c>
      <c r="D41" s="4" t="str">
        <f t="shared" si="4"/>
        <v>Bundibugyo</v>
      </c>
      <c r="E41" s="4" t="str">
        <f t="shared" si="5"/>
        <v>Yes</v>
      </c>
      <c r="F41" s="4" t="str">
        <f t="shared" si="6"/>
        <v/>
      </c>
      <c r="G41" s="4" t="str">
        <f t="shared" si="7"/>
        <v/>
      </c>
      <c r="H41" s="4" t="str">
        <f t="shared" si="8"/>
        <v/>
      </c>
      <c r="I41" s="4" t="str">
        <f t="shared" si="9"/>
        <v/>
      </c>
      <c r="J41" s="5" t="str">
        <f t="shared" si="10"/>
        <v/>
      </c>
      <c r="K41" s="5" t="str">
        <f t="shared" si="11"/>
        <v/>
      </c>
      <c r="N41" s="2" t="str">
        <f t="shared" si="12"/>
        <v>https://doi.org/10.1001/jama.2026.10042</v>
      </c>
      <c r="O41" s="20">
        <v>93</v>
      </c>
      <c r="P41" s="20" t="s">
        <v>502</v>
      </c>
      <c r="Q41" s="20" t="s">
        <v>503</v>
      </c>
      <c r="R41" s="20" t="s">
        <v>504</v>
      </c>
      <c r="S41" s="20" t="s">
        <v>505</v>
      </c>
      <c r="T41" s="20" t="s">
        <v>433</v>
      </c>
      <c r="U41" s="2"/>
      <c r="V41" s="20">
        <v>2</v>
      </c>
      <c r="W41" s="2"/>
      <c r="X41" s="20" t="s">
        <v>506</v>
      </c>
      <c r="Y41" s="2"/>
      <c r="Z41" s="20" t="s">
        <v>21</v>
      </c>
      <c r="AA41" s="2"/>
      <c r="AB41" s="2"/>
      <c r="AC41" s="2"/>
      <c r="AD41" s="20" t="s">
        <v>352</v>
      </c>
      <c r="AE41" s="2"/>
      <c r="AF41" s="20" t="s">
        <v>270</v>
      </c>
      <c r="AG41" s="2"/>
      <c r="AH41" s="2"/>
      <c r="AI41" s="20" t="s">
        <v>306</v>
      </c>
      <c r="AJ41" s="2"/>
      <c r="AK41" s="20" t="s">
        <v>307</v>
      </c>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1"/>
      <c r="KM41" s="1"/>
    </row>
    <row r="42" spans="1:299" ht="60" customHeight="1" x14ac:dyDescent="0.25">
      <c r="A42" s="5" t="str">
        <f t="shared" si="1"/>
        <v>, (2026), Nature Communications</v>
      </c>
      <c r="B42" s="3" t="str">
        <f t="shared" si="2"/>
        <v>The current Ebola outbreak is a public health emergency of international concern</v>
      </c>
      <c r="C42" s="4" t="str">
        <f t="shared" si="3"/>
        <v>Commentary, Peer-reviewed publication</v>
      </c>
      <c r="D42" s="4" t="str">
        <f t="shared" si="4"/>
        <v>Bundibugyo</v>
      </c>
      <c r="E42" s="4" t="str">
        <f t="shared" si="5"/>
        <v>Yes</v>
      </c>
      <c r="F42" s="4" t="str">
        <f t="shared" si="6"/>
        <v/>
      </c>
      <c r="G42" s="4" t="str">
        <f t="shared" si="7"/>
        <v/>
      </c>
      <c r="H42" s="4" t="str">
        <f t="shared" si="8"/>
        <v/>
      </c>
      <c r="I42" s="4" t="str">
        <f t="shared" si="9"/>
        <v/>
      </c>
      <c r="J42" s="5" t="str">
        <f t="shared" si="10"/>
        <v/>
      </c>
      <c r="K42" s="5" t="str">
        <f t="shared" si="11"/>
        <v/>
      </c>
      <c r="N42" s="2" t="str">
        <f t="shared" si="12"/>
        <v>https://doi.org/10.1038/s41467-026-73746-1</v>
      </c>
      <c r="O42" s="20">
        <v>95</v>
      </c>
      <c r="P42" s="20" t="s">
        <v>507</v>
      </c>
      <c r="Q42" s="20" t="s">
        <v>508</v>
      </c>
      <c r="R42" s="20" t="s">
        <v>509</v>
      </c>
      <c r="S42" s="20" t="s">
        <v>510</v>
      </c>
      <c r="T42" s="20" t="s">
        <v>433</v>
      </c>
      <c r="U42" s="2"/>
      <c r="V42" s="20">
        <v>2</v>
      </c>
      <c r="W42" s="2"/>
      <c r="X42" s="20" t="s">
        <v>511</v>
      </c>
      <c r="Y42" s="2"/>
      <c r="Z42" s="20" t="s">
        <v>21</v>
      </c>
      <c r="AA42" s="2"/>
      <c r="AB42" s="2"/>
      <c r="AC42" s="2"/>
      <c r="AD42" s="20" t="s">
        <v>352</v>
      </c>
      <c r="AE42" s="2"/>
      <c r="AF42" s="20" t="s">
        <v>270</v>
      </c>
      <c r="AG42" s="2"/>
      <c r="AH42" s="2"/>
      <c r="AI42" s="20" t="s">
        <v>271</v>
      </c>
      <c r="AJ42" s="2"/>
      <c r="AK42" s="20" t="s">
        <v>425</v>
      </c>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1"/>
      <c r="KM42" s="1"/>
    </row>
    <row r="43" spans="1:299" ht="60" customHeight="1" x14ac:dyDescent="0.25">
      <c r="A43" s="5" t="str">
        <f t="shared" si="1"/>
        <v xml:space="preserve">UK Health Security Agency, () </v>
      </c>
      <c r="B43" s="3" t="str">
        <f t="shared" si="2"/>
        <v>Ebola disease outbreak in the Democratic Republic of the Congo and Uganda (Bundibugyo virus)</v>
      </c>
      <c r="C43" s="4" t="str">
        <f t="shared" si="3"/>
        <v>Guideline, Government report</v>
      </c>
      <c r="D43" s="4" t="str">
        <f t="shared" si="4"/>
        <v>Bundibugyo</v>
      </c>
      <c r="E43" s="4" t="str">
        <f t="shared" si="5"/>
        <v>Yes</v>
      </c>
      <c r="F43" s="4" t="str">
        <f t="shared" si="6"/>
        <v>This is an urgent public health message to all National Health Services (NHS) and independent healthcare providers regarding the current Ebola disease outbreak in the DRC and Uganda. This publication includes guidelines for NHS and other healthcare providers, clinical assessment and primary care.</v>
      </c>
      <c r="G43" s="4" t="str">
        <f t="shared" si="7"/>
        <v/>
      </c>
      <c r="H43" s="4" t="str">
        <f t="shared" si="8"/>
        <v/>
      </c>
      <c r="I43" s="4" t="str">
        <f t="shared" si="9"/>
        <v/>
      </c>
      <c r="J43" s="5" t="str">
        <f t="shared" si="10"/>
        <v/>
      </c>
      <c r="K43" s="5" t="str">
        <f t="shared" si="11"/>
        <v/>
      </c>
      <c r="N43" s="2" t="str">
        <f t="shared" si="12"/>
        <v>https://www.gov.uk/guidance/ebola-disease-outbreak-in-the-democratic-republic-of-the-congo-and-uganda-bundibugyo-virus</v>
      </c>
      <c r="O43" s="20">
        <v>98</v>
      </c>
      <c r="P43" s="20" t="s">
        <v>1367</v>
      </c>
      <c r="Q43" s="20" t="s">
        <v>512</v>
      </c>
      <c r="R43" s="2"/>
      <c r="S43" s="20" t="s">
        <v>513</v>
      </c>
      <c r="T43" s="20" t="s">
        <v>266</v>
      </c>
      <c r="U43" s="2"/>
      <c r="V43" s="20">
        <v>2</v>
      </c>
      <c r="W43" s="2"/>
      <c r="X43" s="20" t="s">
        <v>513</v>
      </c>
      <c r="Y43" s="2"/>
      <c r="Z43" s="20" t="s">
        <v>21</v>
      </c>
      <c r="AA43" s="2"/>
      <c r="AB43" s="2"/>
      <c r="AC43" s="2"/>
      <c r="AD43" s="20" t="s">
        <v>352</v>
      </c>
      <c r="AE43" s="2"/>
      <c r="AF43" s="20" t="s">
        <v>270</v>
      </c>
      <c r="AG43" s="2"/>
      <c r="AH43" s="2"/>
      <c r="AI43" s="20" t="s">
        <v>437</v>
      </c>
      <c r="AJ43" s="2"/>
      <c r="AK43" s="20" t="s">
        <v>438</v>
      </c>
      <c r="AL43" s="2"/>
      <c r="AM43" s="20" t="s">
        <v>514</v>
      </c>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1"/>
      <c r="KM43" s="1"/>
    </row>
    <row r="44" spans="1:299" ht="60" customHeight="1" x14ac:dyDescent="0.25">
      <c r="A44" s="5" t="str">
        <f t="shared" si="1"/>
        <v>Baraniuk, et al, (2026), BMJ (Clinical research ed.)</v>
      </c>
      <c r="B44" s="3" t="str">
        <f t="shared" si="2"/>
        <v>Ebola: Three vaccines rushed into development for Bundibugyo outbreak</v>
      </c>
      <c r="C44" s="4" t="str">
        <f t="shared" si="3"/>
        <v>News, Other grey literature report</v>
      </c>
      <c r="D44" s="4" t="str">
        <f t="shared" si="4"/>
        <v>Bundibugyo</v>
      </c>
      <c r="E44" s="4" t="str">
        <f t="shared" si="5"/>
        <v>Yes</v>
      </c>
      <c r="F44" s="4" t="str">
        <f t="shared" si="6"/>
        <v/>
      </c>
      <c r="G44" s="4" t="str">
        <f t="shared" si="7"/>
        <v/>
      </c>
      <c r="H44" s="4" t="str">
        <f t="shared" si="8"/>
        <v/>
      </c>
      <c r="I44" s="4" t="str">
        <f t="shared" si="9"/>
        <v/>
      </c>
      <c r="J44" s="5" t="str">
        <f t="shared" si="10"/>
        <v/>
      </c>
      <c r="K44" s="5" t="str">
        <f t="shared" si="11"/>
        <v/>
      </c>
      <c r="N44" s="2" t="str">
        <f t="shared" si="12"/>
        <v>https://doi.org/10.1136/bmj-2026-557985</v>
      </c>
      <c r="O44" s="20">
        <v>100</v>
      </c>
      <c r="P44" s="20" t="s">
        <v>515</v>
      </c>
      <c r="Q44" s="20" t="s">
        <v>516</v>
      </c>
      <c r="R44" s="20" t="s">
        <v>517</v>
      </c>
      <c r="S44" s="20" t="s">
        <v>518</v>
      </c>
      <c r="T44" s="20" t="s">
        <v>266</v>
      </c>
      <c r="U44" s="2"/>
      <c r="V44" s="20">
        <v>2</v>
      </c>
      <c r="W44" s="2"/>
      <c r="X44" s="20" t="s">
        <v>519</v>
      </c>
      <c r="Y44" s="2"/>
      <c r="Z44" s="20" t="s">
        <v>21</v>
      </c>
      <c r="AA44" s="2"/>
      <c r="AB44" s="2"/>
      <c r="AC44" s="2"/>
      <c r="AD44" s="20" t="s">
        <v>352</v>
      </c>
      <c r="AE44" s="2"/>
      <c r="AF44" s="20" t="s">
        <v>270</v>
      </c>
      <c r="AG44" s="2"/>
      <c r="AH44" s="2"/>
      <c r="AI44" s="20" t="s">
        <v>306</v>
      </c>
      <c r="AJ44" s="2"/>
      <c r="AK44" s="20" t="s">
        <v>307</v>
      </c>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1"/>
      <c r="KM44" s="1"/>
    </row>
    <row r="45" spans="1:299" ht="60" customHeight="1" x14ac:dyDescent="0.25">
      <c r="A45" s="5" t="str">
        <f t="shared" si="1"/>
        <v>Karim, et al, (2026), Lancet (London, England)</v>
      </c>
      <c r="B45" s="3" t="str">
        <f t="shared" si="2"/>
        <v>Urgent need for a reliable rapid diagnostic test for the Ebola epidemic caused by Bundibugyo virus in Africa</v>
      </c>
      <c r="C45" s="4" t="str">
        <f t="shared" si="3"/>
        <v>Commentary, Peer-reviewed publication</v>
      </c>
      <c r="D45" s="4" t="str">
        <f t="shared" si="4"/>
        <v>Bundibugyo</v>
      </c>
      <c r="E45" s="4" t="str">
        <f t="shared" si="5"/>
        <v>Yes</v>
      </c>
      <c r="F45" s="4" t="str">
        <f t="shared" si="6"/>
        <v/>
      </c>
      <c r="G45" s="4" t="str">
        <f t="shared" si="7"/>
        <v/>
      </c>
      <c r="H45" s="4" t="str">
        <f t="shared" si="8"/>
        <v/>
      </c>
      <c r="I45" s="4" t="str">
        <f t="shared" si="9"/>
        <v/>
      </c>
      <c r="J45" s="5" t="str">
        <f t="shared" si="10"/>
        <v/>
      </c>
      <c r="K45" s="5" t="str">
        <f t="shared" si="11"/>
        <v/>
      </c>
      <c r="N45" s="2" t="str">
        <f t="shared" si="12"/>
        <v>https://doi.org/10.1016/s0140-6736(26)01093-7</v>
      </c>
      <c r="O45" s="20">
        <v>101</v>
      </c>
      <c r="P45" s="20" t="s">
        <v>520</v>
      </c>
      <c r="Q45" s="20" t="s">
        <v>521</v>
      </c>
      <c r="R45" s="20" t="s">
        <v>522</v>
      </c>
      <c r="S45" s="20" t="s">
        <v>523</v>
      </c>
      <c r="T45" s="20" t="s">
        <v>266</v>
      </c>
      <c r="U45" s="2"/>
      <c r="V45" s="20">
        <v>2</v>
      </c>
      <c r="W45" s="2"/>
      <c r="X45" s="20" t="s">
        <v>524</v>
      </c>
      <c r="Y45" s="2"/>
      <c r="Z45" s="20" t="s">
        <v>21</v>
      </c>
      <c r="AA45" s="2"/>
      <c r="AB45" s="2"/>
      <c r="AC45" s="2"/>
      <c r="AD45" s="20" t="s">
        <v>352</v>
      </c>
      <c r="AE45" s="2"/>
      <c r="AF45" s="20" t="s">
        <v>270</v>
      </c>
      <c r="AG45" s="2"/>
      <c r="AH45" s="2"/>
      <c r="AI45" s="20" t="s">
        <v>271</v>
      </c>
      <c r="AJ45" s="2"/>
      <c r="AK45" s="20" t="s">
        <v>425</v>
      </c>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1"/>
      <c r="KM45" s="1"/>
    </row>
    <row r="46" spans="1:299" ht="60" customHeight="1" x14ac:dyDescent="0.25">
      <c r="A46" s="5" t="str">
        <f t="shared" si="1"/>
        <v>Ferrara, et al, (2026), Research Square</v>
      </c>
      <c r="B46" s="3" t="str">
        <f t="shared" si="2"/>
        <v>Interpretable Ensemble Learning for the Determinants of Ebola Outbreak Case-Fatality: A Half-Century Analysis of Orthoebolavirus Events, 1976-2026</v>
      </c>
      <c r="C46" s="4" t="str">
        <f t="shared" si="3"/>
        <v>Primary - article, Modeling, Preprint</v>
      </c>
      <c r="D46" s="4" t="str">
        <f t="shared" si="4"/>
        <v>Bundibugyo</v>
      </c>
      <c r="E46" s="4" t="str">
        <f t="shared" si="5"/>
        <v>Yes</v>
      </c>
      <c r="F46" s="4" t="str">
        <f t="shared" si="6"/>
        <v>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v>
      </c>
      <c r="G46" s="4" t="str">
        <f t="shared" si="7"/>
        <v>Mortality</v>
      </c>
      <c r="H46" s="4" t="str">
        <f t="shared" si="8"/>
        <v>Human - General population</v>
      </c>
      <c r="I46" s="4" t="str">
        <f t="shared" si="9"/>
        <v/>
      </c>
      <c r="J46" s="5" t="str">
        <f t="shared" si="10"/>
        <v>Researchers assembled a half-century, outbreak-level record of human orthoebolavirus events from public CDC and WHO sources and study the determinants of the case-fatality rate (CFR) with interpretable, low-variance ensemble learning under leave-one-out validation. Viral species is the dominant driver of pooled CFR near 70% for Zaire, 51% for Sudan, 24% for Bundibugyo, and outbreak scale is the second strongest feature, while contextual covariates carry a secondary signal. Read against the 2026 Bundibugyo emergency, the results locate the current outbreak at the low-lethality end of the species spectrum while underlining that lower lethality, late species confirmation and the absence of a species-matched vaccine combine into a configuration in which scale, rather than per-case fatality, is the quantity to watch.</v>
      </c>
      <c r="K46" s="5" t="str">
        <f t="shared" si="11"/>
        <v>The study uses interpretable ensemble learning (gradient boosting, random forest, elastic-net regression) with leave-one-out cross-validation to analyze Ebola outbreak CFRs from 1976–2026. It identifies viral species and outbreak scale as key predictors, supported by Shapley additive explanations (SHAP) values for feature attribution. The analysis focuses on outbreak-level data from CDC and WHO, emphasizing methodological transparency and generalizability.</v>
      </c>
      <c r="N46" s="2" t="str">
        <f t="shared" si="12"/>
        <v>https://doi.org/10.21203/rs.3.rs-9880357/v1</v>
      </c>
      <c r="O46" s="20">
        <v>102</v>
      </c>
      <c r="P46" s="20" t="s">
        <v>525</v>
      </c>
      <c r="Q46" s="20" t="s">
        <v>526</v>
      </c>
      <c r="R46" s="20" t="s">
        <v>527</v>
      </c>
      <c r="S46" s="20" t="s">
        <v>528</v>
      </c>
      <c r="T46" s="20" t="s">
        <v>266</v>
      </c>
      <c r="U46" s="2"/>
      <c r="V46" s="20" t="s">
        <v>267</v>
      </c>
      <c r="W46" s="2"/>
      <c r="X46" s="20" t="s">
        <v>529</v>
      </c>
      <c r="Y46" s="2"/>
      <c r="Z46" s="20" t="s">
        <v>21</v>
      </c>
      <c r="AA46" s="2"/>
      <c r="AB46" s="2"/>
      <c r="AC46" s="2"/>
      <c r="AD46" s="20" t="s">
        <v>352</v>
      </c>
      <c r="AE46" s="2"/>
      <c r="AF46" s="20" t="s">
        <v>270</v>
      </c>
      <c r="AG46" s="2"/>
      <c r="AH46" s="2"/>
      <c r="AI46" s="20" t="s">
        <v>353</v>
      </c>
      <c r="AJ46" s="2"/>
      <c r="AK46" s="20" t="s">
        <v>272</v>
      </c>
      <c r="AL46" s="2"/>
      <c r="AM46" s="2"/>
      <c r="AN46" s="2"/>
      <c r="AO46" s="2"/>
      <c r="AP46" s="20" t="s">
        <v>530</v>
      </c>
      <c r="AQ46" s="2"/>
      <c r="AR46" s="20" t="s">
        <v>37</v>
      </c>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0" t="s">
        <v>83</v>
      </c>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0" t="s">
        <v>73</v>
      </c>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0" t="s">
        <v>73</v>
      </c>
      <c r="EW46" s="2"/>
      <c r="EX46" s="2"/>
      <c r="EY46" s="2"/>
      <c r="EZ46" s="2"/>
      <c r="FA46" s="2"/>
      <c r="FB46" s="2"/>
      <c r="FC46" s="2"/>
      <c r="FD46" s="2"/>
      <c r="FE46" s="2"/>
      <c r="FF46" s="20" t="s">
        <v>149</v>
      </c>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0" t="s">
        <v>73</v>
      </c>
      <c r="GG46" s="2"/>
      <c r="GH46" s="2"/>
      <c r="GI46" s="2"/>
      <c r="GJ46" s="2"/>
      <c r="GK46" s="2"/>
      <c r="GL46" s="2"/>
      <c r="GM46" s="2"/>
      <c r="GN46" s="2"/>
      <c r="GO46" s="2"/>
      <c r="GP46" s="20" t="s">
        <v>73</v>
      </c>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0" t="s">
        <v>73</v>
      </c>
      <c r="HS46" s="2"/>
      <c r="HT46" s="2"/>
      <c r="HU46" s="2"/>
      <c r="HV46" s="2"/>
      <c r="HW46" s="2"/>
      <c r="HX46" s="2"/>
      <c r="HY46" s="2"/>
      <c r="HZ46" s="2"/>
      <c r="IA46" s="2"/>
      <c r="IB46" s="20" t="s">
        <v>73</v>
      </c>
      <c r="IC46" s="2"/>
      <c r="ID46" s="2"/>
      <c r="IE46" s="2"/>
      <c r="IF46" s="2"/>
      <c r="IG46" s="2"/>
      <c r="IH46" s="2"/>
      <c r="II46" s="2"/>
      <c r="IJ46" s="20" t="s">
        <v>73</v>
      </c>
      <c r="IK46" s="2"/>
      <c r="IL46" s="2"/>
      <c r="IM46" s="2"/>
      <c r="IN46" s="2"/>
      <c r="IO46" s="2"/>
      <c r="IP46" s="2"/>
      <c r="IQ46" s="2"/>
      <c r="IR46" s="2"/>
      <c r="IS46" s="2"/>
      <c r="IT46" s="20" t="s">
        <v>73</v>
      </c>
      <c r="IU46" s="2"/>
      <c r="IV46" s="2"/>
      <c r="IW46" s="2"/>
      <c r="IX46" s="20" t="s">
        <v>73</v>
      </c>
      <c r="IY46" s="2"/>
      <c r="IZ46" s="2"/>
      <c r="JA46" s="2"/>
      <c r="JB46" s="20" t="s">
        <v>73</v>
      </c>
      <c r="JC46" s="2"/>
      <c r="JD46" s="2"/>
      <c r="JE46" s="2"/>
      <c r="JF46" s="20" t="s">
        <v>73</v>
      </c>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0" t="s">
        <v>73</v>
      </c>
      <c r="KG46" s="2"/>
      <c r="KH46" s="20" t="s">
        <v>531</v>
      </c>
      <c r="KI46" s="2"/>
      <c r="KJ46" s="20" t="s">
        <v>532</v>
      </c>
      <c r="KK46" s="2"/>
      <c r="KL46" s="1"/>
      <c r="KM46" s="1"/>
    </row>
    <row r="47" spans="1:299" ht="60" customHeight="1" x14ac:dyDescent="0.25">
      <c r="A47" s="5" t="str">
        <f t="shared" si="1"/>
        <v>Mvumbi, et al, (2026), Preprints.org</v>
      </c>
      <c r="B47" s="3" t="str">
        <f t="shared" si="2"/>
        <v>A Constrained-Evolution Hypothesis for the 2026 Bundibugyo Ebolavirus Outbreak in the Democratic Republic of the Congo: Predictable Mutational Pathways, Diagnostic Fragility, and Short-Horizon Epidemic Trajectories</v>
      </c>
      <c r="C47" s="4" t="str">
        <f t="shared" si="3"/>
        <v>Other non-primary, Preprint</v>
      </c>
      <c r="D47" s="4" t="str">
        <f t="shared" si="4"/>
        <v>Bundibugyo</v>
      </c>
      <c r="E47" s="4" t="str">
        <f t="shared" si="5"/>
        <v>Yes</v>
      </c>
      <c r="F47" s="4" t="str">
        <f t="shared" si="6"/>
        <v/>
      </c>
      <c r="G47" s="4" t="str">
        <f t="shared" si="7"/>
        <v/>
      </c>
      <c r="H47" s="4" t="str">
        <f t="shared" si="8"/>
        <v/>
      </c>
      <c r="I47" s="4" t="str">
        <f t="shared" si="9"/>
        <v/>
      </c>
      <c r="J47" s="5" t="str">
        <f t="shared" si="10"/>
        <v/>
      </c>
      <c r="K47" s="5" t="str">
        <f t="shared" si="11"/>
        <v/>
      </c>
      <c r="N47" s="2" t="str">
        <f t="shared" si="12"/>
        <v>https://doi.org/10.20944/preprints202605.1844.v1</v>
      </c>
      <c r="O47" s="20">
        <v>103</v>
      </c>
      <c r="P47" s="20" t="s">
        <v>533</v>
      </c>
      <c r="Q47" s="20" t="s">
        <v>534</v>
      </c>
      <c r="R47" s="20" t="s">
        <v>535</v>
      </c>
      <c r="S47" s="20" t="s">
        <v>536</v>
      </c>
      <c r="T47" s="20" t="s">
        <v>266</v>
      </c>
      <c r="U47" s="2"/>
      <c r="V47" s="20">
        <v>2</v>
      </c>
      <c r="W47" s="2"/>
      <c r="X47" s="20" t="s">
        <v>537</v>
      </c>
      <c r="Y47" s="2"/>
      <c r="Z47" s="20" t="s">
        <v>21</v>
      </c>
      <c r="AA47" s="2"/>
      <c r="AB47" s="2"/>
      <c r="AC47" s="2"/>
      <c r="AD47" s="20" t="s">
        <v>352</v>
      </c>
      <c r="AE47" s="2"/>
      <c r="AF47" s="20" t="s">
        <v>270</v>
      </c>
      <c r="AG47" s="2"/>
      <c r="AH47" s="2"/>
      <c r="AI47" s="20" t="s">
        <v>353</v>
      </c>
      <c r="AJ47" s="2"/>
      <c r="AK47" s="20" t="s">
        <v>449</v>
      </c>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1"/>
      <c r="KM47" s="1"/>
    </row>
    <row r="48" spans="1:299" ht="60" customHeight="1" x14ac:dyDescent="0.25">
      <c r="A48" s="5" t="str">
        <f t="shared" si="1"/>
        <v xml:space="preserve">Bosa, et al, (2026) </v>
      </c>
      <c r="B48" s="3" t="str">
        <f t="shared" si="2"/>
        <v>Cross-border transmission of Ebola virus disease caused by Bundibugyo virus into Uganda, 2026</v>
      </c>
      <c r="C48" s="4" t="str">
        <f t="shared" si="3"/>
        <v>Primary - short communication, Descriptive, Peer-reviewed publication</v>
      </c>
      <c r="D48" s="4" t="str">
        <f t="shared" si="4"/>
        <v>Bundibugyo</v>
      </c>
      <c r="E48" s="4" t="str">
        <f t="shared" si="5"/>
        <v>Yes</v>
      </c>
      <c r="F48" s="4" t="str">
        <f t="shared" si="6"/>
        <v>The report from the Uganda Ministry of Health describes the 2026 cross-border outbreak of Ebola disease caused by Bundibugyo virus (BDBV), in which two infected individuals travelled from the outbreak epicentre in Ituri Province, Democratic Republic of the Congo, to private hospitals in Kampala, Uganda. The authors highlight regional medical referral pathways and population mobility as key risks for disease spread and recommend strict movement restrictions, enhanced contact tracing, retrospective audits of recent admissions, and heightened surveillance at regional and international referral facilities to prevent further transmission.</v>
      </c>
      <c r="G48" s="4" t="str">
        <f t="shared" si="7"/>
        <v>Border measure - PHM</v>
      </c>
      <c r="H48" s="4" t="str">
        <f t="shared" si="8"/>
        <v>Human - Did not specify</v>
      </c>
      <c r="I48" s="4" t="str">
        <f t="shared" si="9"/>
        <v/>
      </c>
      <c r="J48" s="5" t="str">
        <f t="shared" si="10"/>
        <v>PUBLIC HEALTH MEASURES - Border measures: In this correspondence, authors highlighted the referral pathways for healthcare in Uganda based on BDBV case patients. They call for authorities to restrict  movement of cases and or their contacts, from the epicentre in Ituri province to Uganda and beyond.</v>
      </c>
      <c r="K48" s="5" t="str">
        <f t="shared" si="11"/>
        <v>The article descriptively documents two imported Bundibugyo virus disease cases that travelled from Ituri Province in the Democratic Republic of the Congo to private hospitals in Kampala, Uganda. The authors review the patients' travel and healthcare-seeking pathways and discuss the public health implications of cross-border movement and regional medical referral networks for Ebola transmission and control.</v>
      </c>
      <c r="N48" s="2" t="str">
        <f t="shared" si="12"/>
        <v>https://doi.org/10.1016/s1473-3099(26)00288-4</v>
      </c>
      <c r="O48" s="20">
        <v>105</v>
      </c>
      <c r="P48" s="20" t="s">
        <v>1368</v>
      </c>
      <c r="Q48" s="20" t="s">
        <v>538</v>
      </c>
      <c r="R48" s="20" t="s">
        <v>539</v>
      </c>
      <c r="S48" s="20" t="s">
        <v>540</v>
      </c>
      <c r="T48" s="20" t="s">
        <v>266</v>
      </c>
      <c r="U48" s="2"/>
      <c r="V48" s="20" t="s">
        <v>267</v>
      </c>
      <c r="W48" s="2"/>
      <c r="X48" s="20" t="s">
        <v>541</v>
      </c>
      <c r="Y48" s="2"/>
      <c r="Z48" s="20" t="s">
        <v>21</v>
      </c>
      <c r="AA48" s="2"/>
      <c r="AB48" s="2"/>
      <c r="AC48" s="2"/>
      <c r="AD48" s="20" t="s">
        <v>352</v>
      </c>
      <c r="AE48" s="2"/>
      <c r="AF48" s="20" t="s">
        <v>270</v>
      </c>
      <c r="AG48" s="2"/>
      <c r="AH48" s="2"/>
      <c r="AI48" s="20" t="s">
        <v>271</v>
      </c>
      <c r="AJ48" s="2"/>
      <c r="AK48" s="20" t="s">
        <v>490</v>
      </c>
      <c r="AL48" s="2"/>
      <c r="AM48" s="2"/>
      <c r="AN48" s="2"/>
      <c r="AO48" s="2"/>
      <c r="AP48" s="20" t="s">
        <v>542</v>
      </c>
      <c r="AQ48" s="2"/>
      <c r="AR48" s="2"/>
      <c r="AS48" s="2"/>
      <c r="AT48" s="2"/>
      <c r="AU48" s="2"/>
      <c r="AV48" s="2"/>
      <c r="AW48" s="2"/>
      <c r="AX48" s="2"/>
      <c r="AY48" s="2"/>
      <c r="AZ48" s="2"/>
      <c r="BA48" s="2"/>
      <c r="BB48" s="2"/>
      <c r="BC48" s="2"/>
      <c r="BD48" s="2"/>
      <c r="BE48" s="2"/>
      <c r="BF48" s="2"/>
      <c r="BG48" s="2"/>
      <c r="BH48" s="2"/>
      <c r="BI48" s="2"/>
      <c r="BJ48" s="20" t="s">
        <v>55</v>
      </c>
      <c r="BK48" s="2"/>
      <c r="BL48" s="2"/>
      <c r="BM48" s="2"/>
      <c r="BN48" s="2"/>
      <c r="BO48" s="2"/>
      <c r="BP48" s="2"/>
      <c r="BQ48" s="2"/>
      <c r="BR48" s="2"/>
      <c r="BS48" s="2"/>
      <c r="BT48" s="2"/>
      <c r="BU48" s="2"/>
      <c r="BV48" s="2"/>
      <c r="BW48" s="2"/>
      <c r="BX48" s="2"/>
      <c r="BY48" s="2"/>
      <c r="BZ48" s="2"/>
      <c r="CA48" s="2"/>
      <c r="CB48" s="2"/>
      <c r="CC48" s="2"/>
      <c r="CD48" s="2"/>
      <c r="CE48" s="2"/>
      <c r="CF48" s="20" t="s">
        <v>77</v>
      </c>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0" t="s">
        <v>73</v>
      </c>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0" t="s">
        <v>73</v>
      </c>
      <c r="EW48" s="2"/>
      <c r="EX48" s="2"/>
      <c r="EY48" s="2"/>
      <c r="EZ48" s="2"/>
      <c r="FA48" s="2"/>
      <c r="FB48" s="2"/>
      <c r="FC48" s="2"/>
      <c r="FD48" s="2"/>
      <c r="FE48" s="2"/>
      <c r="FF48" s="2"/>
      <c r="FG48" s="2"/>
      <c r="FH48" s="2"/>
      <c r="FI48" s="2"/>
      <c r="FJ48" s="2"/>
      <c r="FK48" s="2"/>
      <c r="FL48" s="2"/>
      <c r="FM48" s="2"/>
      <c r="FN48" s="2"/>
      <c r="FO48" s="2"/>
      <c r="FP48" s="2"/>
      <c r="FQ48" s="2"/>
      <c r="FR48" s="20" t="s">
        <v>73</v>
      </c>
      <c r="FS48" s="2"/>
      <c r="FT48" s="2"/>
      <c r="FU48" s="2"/>
      <c r="FV48" s="2"/>
      <c r="FW48" s="2"/>
      <c r="FX48" s="2"/>
      <c r="FY48" s="2"/>
      <c r="FZ48" s="2"/>
      <c r="GA48" s="2"/>
      <c r="GB48" s="2"/>
      <c r="GC48" s="2"/>
      <c r="GD48" s="2"/>
      <c r="GE48" s="2"/>
      <c r="GF48" s="20" t="s">
        <v>73</v>
      </c>
      <c r="GG48" s="2"/>
      <c r="GH48" s="2"/>
      <c r="GI48" s="2"/>
      <c r="GJ48" s="2"/>
      <c r="GK48" s="2"/>
      <c r="GL48" s="2"/>
      <c r="GM48" s="2"/>
      <c r="GN48" s="2"/>
      <c r="GO48" s="2"/>
      <c r="GP48" s="20" t="s">
        <v>73</v>
      </c>
      <c r="GQ48" s="2"/>
      <c r="GR48" s="2"/>
      <c r="GS48" s="2"/>
      <c r="GT48" s="2"/>
      <c r="GU48" s="2"/>
      <c r="GV48" s="2"/>
      <c r="GW48" s="2"/>
      <c r="GX48" s="2"/>
      <c r="GY48" s="2"/>
      <c r="GZ48" s="20" t="s">
        <v>189</v>
      </c>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0" t="s">
        <v>73</v>
      </c>
      <c r="IC48" s="2"/>
      <c r="ID48" s="2"/>
      <c r="IE48" s="2"/>
      <c r="IF48" s="2"/>
      <c r="IG48" s="2"/>
      <c r="IH48" s="2"/>
      <c r="II48" s="2"/>
      <c r="IJ48" s="20" t="s">
        <v>73</v>
      </c>
      <c r="IK48" s="2"/>
      <c r="IL48" s="2"/>
      <c r="IM48" s="2"/>
      <c r="IN48" s="2"/>
      <c r="IO48" s="2"/>
      <c r="IP48" s="2"/>
      <c r="IQ48" s="2"/>
      <c r="IR48" s="2"/>
      <c r="IS48" s="2"/>
      <c r="IT48" s="20" t="s">
        <v>73</v>
      </c>
      <c r="IU48" s="2"/>
      <c r="IV48" s="2"/>
      <c r="IW48" s="2"/>
      <c r="IX48" s="20" t="s">
        <v>73</v>
      </c>
      <c r="IY48" s="2"/>
      <c r="IZ48" s="2"/>
      <c r="JA48" s="2"/>
      <c r="JB48" s="20" t="s">
        <v>73</v>
      </c>
      <c r="JC48" s="2"/>
      <c r="JD48" s="2"/>
      <c r="JE48" s="2"/>
      <c r="JF48" s="20" t="s">
        <v>73</v>
      </c>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0" t="s">
        <v>73</v>
      </c>
      <c r="KG48" s="2"/>
      <c r="KH48" s="20" t="s">
        <v>543</v>
      </c>
      <c r="KI48" s="2"/>
      <c r="KJ48" s="20" t="s">
        <v>544</v>
      </c>
      <c r="KK48" s="2"/>
      <c r="KL48" s="1"/>
      <c r="KM48" s="1"/>
    </row>
    <row r="49" spans="1:299" ht="60" customHeight="1" x14ac:dyDescent="0.25">
      <c r="A49" s="5" t="str">
        <f t="shared" si="1"/>
        <v xml:space="preserve">ECDC, (2026) </v>
      </c>
      <c r="B49" s="3" t="str">
        <f t="shared" si="2"/>
        <v>Rapid ECDC advice on infection prevention and control measures for Ebola disease in EU/EEA healthcare settings</v>
      </c>
      <c r="C49" s="4" t="str">
        <f t="shared" si="3"/>
        <v>Guideline, Government report</v>
      </c>
      <c r="D49" s="4" t="str">
        <f t="shared" si="4"/>
        <v>Bundibugyo</v>
      </c>
      <c r="E49" s="4" t="str">
        <f t="shared" si="5"/>
        <v>Yes</v>
      </c>
      <c r="F49" s="4" t="str">
        <f t="shared" si="6"/>
        <v>The infection prevention and control (IPC) measures for Ebola disease described in this document are aimed at preventing the transmission of ebolaviruses in the EU/EEA from the time of symptom onset through hospitalisation.</v>
      </c>
      <c r="G49" s="4" t="str">
        <f t="shared" si="7"/>
        <v/>
      </c>
      <c r="H49" s="4" t="str">
        <f t="shared" si="8"/>
        <v/>
      </c>
      <c r="I49" s="4" t="str">
        <f t="shared" si="9"/>
        <v/>
      </c>
      <c r="J49" s="5" t="str">
        <f t="shared" si="10"/>
        <v/>
      </c>
      <c r="K49" s="5" t="str">
        <f t="shared" si="11"/>
        <v/>
      </c>
      <c r="N49" s="2" t="str">
        <f t="shared" si="12"/>
        <v>https://www.ecdc.europa.eu/sites/default/files/documents/Ebola-in-healthcare-settings-advice-infection-prevention-and-control_0.pdf</v>
      </c>
      <c r="O49" s="20">
        <v>112</v>
      </c>
      <c r="P49" s="20" t="s">
        <v>1364</v>
      </c>
      <c r="Q49" s="20" t="s">
        <v>545</v>
      </c>
      <c r="R49" s="2"/>
      <c r="S49" s="20" t="s">
        <v>546</v>
      </c>
      <c r="T49" s="20" t="s">
        <v>266</v>
      </c>
      <c r="U49" s="2"/>
      <c r="V49" s="20">
        <v>2</v>
      </c>
      <c r="W49" s="2"/>
      <c r="X49" s="20" t="s">
        <v>546</v>
      </c>
      <c r="Y49" s="2"/>
      <c r="Z49" s="20" t="s">
        <v>21</v>
      </c>
      <c r="AA49" s="2"/>
      <c r="AB49" s="2"/>
      <c r="AC49" s="2"/>
      <c r="AD49" s="20" t="s">
        <v>352</v>
      </c>
      <c r="AE49" s="2"/>
      <c r="AF49" s="20" t="s">
        <v>270</v>
      </c>
      <c r="AG49" s="2"/>
      <c r="AH49" s="2"/>
      <c r="AI49" s="20" t="s">
        <v>437</v>
      </c>
      <c r="AJ49" s="2"/>
      <c r="AK49" s="20" t="s">
        <v>438</v>
      </c>
      <c r="AL49" s="2"/>
      <c r="AM49" s="20" t="s">
        <v>547</v>
      </c>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1"/>
      <c r="KM49" s="1"/>
    </row>
    <row r="50" spans="1:299" ht="60" customHeight="1" x14ac:dyDescent="0.25">
      <c r="A50" s="5" t="str">
        <f t="shared" si="1"/>
        <v>van Genderen, et al, (2026), Journal of Travel Medicine</v>
      </c>
      <c r="B50" s="3" t="str">
        <f t="shared" si="2"/>
        <v>Closed Cohorts versus Open Borders: Travel Medicine Lessons from the Ebola and Andes Hantavirus outbreaks</v>
      </c>
      <c r="C50" s="4" t="str">
        <f t="shared" si="3"/>
        <v>Commentary, Peer-reviewed publication</v>
      </c>
      <c r="D50" s="4" t="str">
        <f t="shared" si="4"/>
        <v>Bundibugyo</v>
      </c>
      <c r="E50" s="4" t="str">
        <f t="shared" si="5"/>
        <v>Yes</v>
      </c>
      <c r="F50" s="4" t="str">
        <f t="shared" si="6"/>
        <v/>
      </c>
      <c r="G50" s="4" t="str">
        <f t="shared" si="7"/>
        <v/>
      </c>
      <c r="H50" s="4" t="str">
        <f t="shared" si="8"/>
        <v/>
      </c>
      <c r="I50" s="4" t="str">
        <f t="shared" si="9"/>
        <v/>
      </c>
      <c r="J50" s="5" t="str">
        <f t="shared" si="10"/>
        <v/>
      </c>
      <c r="K50" s="5" t="str">
        <f t="shared" si="11"/>
        <v/>
      </c>
      <c r="N50" s="2" t="str">
        <f t="shared" si="12"/>
        <v>https://doi.org/10.1093/jtm/taag045</v>
      </c>
      <c r="O50" s="20">
        <v>123</v>
      </c>
      <c r="P50" s="20" t="s">
        <v>548</v>
      </c>
      <c r="Q50" s="20" t="s">
        <v>549</v>
      </c>
      <c r="R50" s="20" t="s">
        <v>550</v>
      </c>
      <c r="S50" s="20" t="s">
        <v>551</v>
      </c>
      <c r="T50" s="20" t="s">
        <v>266</v>
      </c>
      <c r="U50" s="2"/>
      <c r="V50" s="20">
        <v>2</v>
      </c>
      <c r="W50" s="2"/>
      <c r="X50" s="20" t="s">
        <v>552</v>
      </c>
      <c r="Y50" s="2"/>
      <c r="Z50" s="20" t="s">
        <v>21</v>
      </c>
      <c r="AA50" s="2"/>
      <c r="AB50" s="2"/>
      <c r="AC50" s="2"/>
      <c r="AD50" s="20" t="s">
        <v>352</v>
      </c>
      <c r="AE50" s="2"/>
      <c r="AF50" s="20" t="s">
        <v>270</v>
      </c>
      <c r="AG50" s="2"/>
      <c r="AH50" s="2"/>
      <c r="AI50" s="20" t="s">
        <v>271</v>
      </c>
      <c r="AJ50" s="2"/>
      <c r="AK50" s="20" t="s">
        <v>425</v>
      </c>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1"/>
      <c r="KM50" s="1"/>
    </row>
    <row r="51" spans="1:299" ht="60" customHeight="1" x14ac:dyDescent="0.25">
      <c r="A51" s="5" t="str">
        <f t="shared" si="1"/>
        <v xml:space="preserve">Public Health Ontario, (2026) </v>
      </c>
      <c r="B51" s="3" t="str">
        <f t="shared" si="2"/>
        <v>Genomic Epidemiology and Molecular Characteristics of Bundibugyo Virus</v>
      </c>
      <c r="C51" s="4" t="str">
        <f t="shared" si="3"/>
        <v>Rapid  Review, Government report</v>
      </c>
      <c r="D51" s="4" t="str">
        <f t="shared" si="4"/>
        <v>Bundibugyo</v>
      </c>
      <c r="E51" s="4" t="str">
        <f t="shared" si="5"/>
        <v>Yes</v>
      </c>
      <c r="F51" s="4" t="str">
        <f t="shared" si="6"/>
        <v>This rapid review highlights the genomic and molecular characteristics of BDBV, focusing on mutations identified in recent and past outbreaks; comparative genomic analyses based on current available genomic sequences indicate that the 2026 outbreak likely originated from a novel zoonotic spillover event rather than direct continuation of the 2007 Uganda or 2012 DRC outbreaks. Based on genomic analysis, shared nonsynonymous substitutions, concentrated in antigenically exposed regions of the glycoprotein (GP) gene, were observed in the 2012 and 2026 outbreak genomes.</v>
      </c>
      <c r="G51" s="4" t="str">
        <f t="shared" si="7"/>
        <v>Pathogen mutations; Phylogenetic analysis/molecular epidemiology</v>
      </c>
      <c r="H51" s="4" t="str">
        <f t="shared" si="8"/>
        <v>Human - General population</v>
      </c>
      <c r="I51" s="4" t="str">
        <f t="shared" si="9"/>
        <v/>
      </c>
      <c r="J51" s="5" t="str">
        <f t="shared" si="10"/>
        <v>MUTATIONS/PHYLOGENETIC ANALYSIS:  Genomic analyses suggest this outbreak stems from a novel zoonotic spillover, distinct from the 2007 and 2012 outbreaks, with shared and unique mutations identified in the glycoprotein (GP) gene and other viral regions. However, the functional impact of these mutations on viral transmissibility, pathogenicity, or fitness remains experimentally unconfirmed.</v>
      </c>
      <c r="K51" s="5" t="str">
        <f t="shared" si="11"/>
        <v>Researchers reviewed published and preprint literature for BDBV mutations potentially associated with outbreak dynamics and viral evolution. Keywords were searched in PubMed and sequence data from the 2026 outbreak and previously reported outbreak-associated sequences  were retrieved from the  SeqSet and analyzed for genomic relatedness.</v>
      </c>
      <c r="N51" s="2" t="str">
        <f t="shared" si="12"/>
        <v>https://www.publichealthontario.ca/-/media/Documents/B/26/bundibugyo-virus-genomic-epidemiology-molecular-characteristics.pdf?rev=93d3703a06c74be099f0e96e59b37abd&amp;sc_lang=en</v>
      </c>
      <c r="O51" s="20">
        <v>131</v>
      </c>
      <c r="P51" s="20" t="s">
        <v>1369</v>
      </c>
      <c r="Q51" s="20" t="s">
        <v>553</v>
      </c>
      <c r="R51" s="2"/>
      <c r="S51" s="20" t="s">
        <v>554</v>
      </c>
      <c r="T51" s="20" t="s">
        <v>266</v>
      </c>
      <c r="U51" s="2"/>
      <c r="V51" s="20" t="s">
        <v>267</v>
      </c>
      <c r="W51" s="2"/>
      <c r="X51" s="20" t="s">
        <v>554</v>
      </c>
      <c r="Y51" s="2"/>
      <c r="Z51" s="20" t="s">
        <v>21</v>
      </c>
      <c r="AA51" s="2"/>
      <c r="AB51" s="2"/>
      <c r="AC51" s="2"/>
      <c r="AD51" s="20" t="s">
        <v>352</v>
      </c>
      <c r="AE51" s="2"/>
      <c r="AF51" s="20" t="s">
        <v>270</v>
      </c>
      <c r="AG51" s="2"/>
      <c r="AH51" s="2"/>
      <c r="AI51" s="20" t="s">
        <v>437</v>
      </c>
      <c r="AJ51" s="2"/>
      <c r="AK51" s="20" t="s">
        <v>411</v>
      </c>
      <c r="AL51" s="2"/>
      <c r="AM51" s="2"/>
      <c r="AN51" s="2"/>
      <c r="AO51" s="2"/>
      <c r="AP51" s="20" t="s">
        <v>555</v>
      </c>
      <c r="AQ51" s="2"/>
      <c r="AR51" s="20" t="s">
        <v>37</v>
      </c>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0" t="s">
        <v>73</v>
      </c>
      <c r="DA51" s="2"/>
      <c r="DB51" s="2"/>
      <c r="DC51" s="2"/>
      <c r="DD51" s="2"/>
      <c r="DE51" s="2"/>
      <c r="DF51" s="2"/>
      <c r="DG51" s="2"/>
      <c r="DH51" s="2"/>
      <c r="DI51" s="2"/>
      <c r="DJ51" s="2"/>
      <c r="DK51" s="2"/>
      <c r="DL51" s="2"/>
      <c r="DM51" s="2"/>
      <c r="DN51" s="2"/>
      <c r="DO51" s="2"/>
      <c r="DP51" s="2"/>
      <c r="DQ51" s="2"/>
      <c r="DR51" s="2"/>
      <c r="DS51" s="2"/>
      <c r="DT51" s="2"/>
      <c r="DU51" s="2"/>
      <c r="DV51" s="20" t="s">
        <v>73</v>
      </c>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0" t="s">
        <v>73</v>
      </c>
      <c r="EW51" s="2"/>
      <c r="EX51" s="2"/>
      <c r="EY51" s="2"/>
      <c r="EZ51" s="2"/>
      <c r="FA51" s="2"/>
      <c r="FB51" s="2"/>
      <c r="FC51" s="2"/>
      <c r="FD51" s="2"/>
      <c r="FE51" s="2"/>
      <c r="FF51" s="2"/>
      <c r="FG51" s="2"/>
      <c r="FH51" s="2"/>
      <c r="FI51" s="2"/>
      <c r="FJ51" s="2"/>
      <c r="FK51" s="2"/>
      <c r="FL51" s="2"/>
      <c r="FM51" s="2"/>
      <c r="FN51" s="2"/>
      <c r="FO51" s="2"/>
      <c r="FP51" s="2"/>
      <c r="FQ51" s="2"/>
      <c r="FR51" s="20" t="s">
        <v>73</v>
      </c>
      <c r="FS51" s="2"/>
      <c r="FT51" s="2"/>
      <c r="FU51" s="2"/>
      <c r="FV51" s="2"/>
      <c r="FW51" s="2"/>
      <c r="FX51" s="2"/>
      <c r="FY51" s="2"/>
      <c r="FZ51" s="2"/>
      <c r="GA51" s="2"/>
      <c r="GB51" s="2"/>
      <c r="GC51" s="2"/>
      <c r="GD51" s="2"/>
      <c r="GE51" s="2"/>
      <c r="GF51" s="20" t="s">
        <v>73</v>
      </c>
      <c r="GG51" s="2"/>
      <c r="GH51" s="2"/>
      <c r="GI51" s="2"/>
      <c r="GJ51" s="2"/>
      <c r="GK51" s="2"/>
      <c r="GL51" s="2"/>
      <c r="GM51" s="2"/>
      <c r="GN51" s="2"/>
      <c r="GO51" s="2"/>
      <c r="GP51" s="20" t="s">
        <v>73</v>
      </c>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0" t="s">
        <v>73</v>
      </c>
      <c r="HS51" s="2"/>
      <c r="HT51" s="2"/>
      <c r="HU51" s="2"/>
      <c r="HV51" s="2"/>
      <c r="HW51" s="2"/>
      <c r="HX51" s="2"/>
      <c r="HY51" s="2"/>
      <c r="HZ51" s="2"/>
      <c r="IA51" s="2"/>
      <c r="IB51" s="20" t="s">
        <v>73</v>
      </c>
      <c r="IC51" s="2"/>
      <c r="ID51" s="2"/>
      <c r="IE51" s="2"/>
      <c r="IF51" s="2"/>
      <c r="IG51" s="2"/>
      <c r="IH51" s="2"/>
      <c r="II51" s="2"/>
      <c r="IJ51" s="20" t="s">
        <v>73</v>
      </c>
      <c r="IK51" s="2"/>
      <c r="IL51" s="20" t="s">
        <v>221</v>
      </c>
      <c r="IM51" s="2"/>
      <c r="IN51" s="2"/>
      <c r="IO51" s="2"/>
      <c r="IP51" s="2"/>
      <c r="IQ51" s="2"/>
      <c r="IR51" s="20" t="s">
        <v>227</v>
      </c>
      <c r="IS51" s="2"/>
      <c r="IT51" s="2"/>
      <c r="IU51" s="2"/>
      <c r="IV51" s="2"/>
      <c r="IW51" s="2"/>
      <c r="IX51" s="20" t="s">
        <v>73</v>
      </c>
      <c r="IY51" s="2"/>
      <c r="IZ51" s="2"/>
      <c r="JA51" s="2"/>
      <c r="JB51" s="20" t="s">
        <v>73</v>
      </c>
      <c r="JC51" s="2"/>
      <c r="JD51" s="2"/>
      <c r="JE51" s="2"/>
      <c r="JF51" s="20" t="s">
        <v>73</v>
      </c>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0" t="s">
        <v>73</v>
      </c>
      <c r="KG51" s="2"/>
      <c r="KH51" s="20" t="s">
        <v>556</v>
      </c>
      <c r="KI51" s="2"/>
      <c r="KJ51" s="20" t="s">
        <v>557</v>
      </c>
      <c r="KK51" s="2"/>
      <c r="KL51" s="1"/>
      <c r="KM51" s="1"/>
    </row>
    <row r="52" spans="1:299" ht="60" customHeight="1" x14ac:dyDescent="0.25">
      <c r="A52" s="5" t="str">
        <f t="shared" si="1"/>
        <v xml:space="preserve">Sigfrid, et al, (2026) </v>
      </c>
      <c r="B52" s="3" t="str">
        <f t="shared" si="2"/>
        <v>Bundibugyo virus disease evidence map: a Rapid Research Needs Appraisal</v>
      </c>
      <c r="C52" s="4" t="str">
        <f t="shared" si="3"/>
        <v>Other evidence synthesis, Preprint</v>
      </c>
      <c r="D52" s="4" t="str">
        <f t="shared" si="4"/>
        <v>Bundibugyo</v>
      </c>
      <c r="E52" s="4" t="str">
        <f t="shared" si="5"/>
        <v>No</v>
      </c>
      <c r="F52" s="4" t="str">
        <f t="shared" si="6"/>
        <v>This rapid research needs appraisal synthesises existing published evidence across key domains of BDBV, including clinical presentation, complications, and long-term sequelae, identified 25 studies, predominantly observational (96%), conducted in Uganda (n=15), DRC (n=8), and Guinea (n=2). Fever, fatigue, headache, and gastrointestinal symptoms were most commonly reported; haemorrhagic manifestations ranged from 29–52%, with a CFR of 32.2% (CI 25.8–40.2).</v>
      </c>
      <c r="G52" s="4" t="str">
        <f t="shared" si="7"/>
        <v>Infection risk factors; Attack Rate or SAR; Incubation / Latent period; Acute infection characteristics; Long term infection characteristics; Mortality; Severity risk factors; Infection immunity measures (Ab, titre, cytokines); Vaccine immunity measures (Ab, titre, cytokines); KAB and uptake; Thearapeutics; DTA; Indirect - violence</v>
      </c>
      <c r="H52" s="4" t="str">
        <f t="shared" si="8"/>
        <v>Human - General population</v>
      </c>
      <c r="I52" s="4" t="str">
        <f t="shared" si="9"/>
        <v>Vertical, Direct contact</v>
      </c>
      <c r="J52" s="5" t="str">
        <f t="shared" si="10"/>
        <v>This rapid research needs appraisal synthesises existing published evidence across key domains, including clinical presentation, complications, and long-term sequelae, identified 25 studies, predominantly observational (96%), conducted in Uganda (n=15), DRC (n=8), and Guinea (n=2).  This appraisal identified a sparse evidence-base with profound gaps in clinical characterisation, therapeutics, vaccines, and social and behavioural research. Existing countermeasures target EBOV and cannot be assumed effective against BDBV. The ongoing outbreak in DRC and Uganda makes these gaps not a future priority but an immediate crisis.</v>
      </c>
      <c r="K52" s="5" t="str">
        <f t="shared" si="11"/>
        <v>Researchers implemented a targeted RRNA focused on Bundibugyo virus to identify studies including humans or human samples, focused on studying at least one of the research domain topics: clinical characteristics, immune response, seroprevalence, transmission (human-to-human), risk factors for disease, severe disease/death, diagnostics, vaccines and therapeutic prophylaxis, therapeutics, supportive care, and associated social and behavioural factors. Following PRISMA-ScR guidelines, protocol registration: https://osf.io/twfnr/13The following databases were searched: Ovid Embase, Ovid MEDLINE and Scopus from 1 January 1999 to 06 February 2026.</v>
      </c>
      <c r="N52" s="2" t="str">
        <f t="shared" si="12"/>
        <v>https://media.licdn.com/dms/document/media/v2/D561FAQHQVSzy1EIRvA/feedshare-document-pdf-analyzed/B56Z50JXGlLEAY-/0/1780065074614?e=1781740800&amp;v=beta&amp;t=ZGdWpFku9cm5WSC5kDvE1x5xEWN3372nVeUJmnczLM0&amp;acrobatPromotionSource=linkedin_chrome-post_view</v>
      </c>
      <c r="O52" s="20">
        <v>133</v>
      </c>
      <c r="P52" s="20" t="s">
        <v>1370</v>
      </c>
      <c r="Q52" s="20" t="s">
        <v>558</v>
      </c>
      <c r="R52" s="2"/>
      <c r="S52" s="20" t="s">
        <v>559</v>
      </c>
      <c r="T52" s="20" t="s">
        <v>266</v>
      </c>
      <c r="U52" s="2"/>
      <c r="V52" s="20" t="s">
        <v>267</v>
      </c>
      <c r="W52" s="2"/>
      <c r="X52" s="20" t="s">
        <v>559</v>
      </c>
      <c r="Y52" s="2"/>
      <c r="Z52" s="20" t="s">
        <v>21</v>
      </c>
      <c r="AA52" s="2"/>
      <c r="AB52" s="2"/>
      <c r="AC52" s="2"/>
      <c r="AD52" s="20" t="s">
        <v>269</v>
      </c>
      <c r="AE52" s="2"/>
      <c r="AF52" s="20" t="s">
        <v>270</v>
      </c>
      <c r="AG52" s="2"/>
      <c r="AH52" s="2"/>
      <c r="AI52" s="20" t="s">
        <v>353</v>
      </c>
      <c r="AJ52" s="2"/>
      <c r="AK52" s="20" t="s">
        <v>354</v>
      </c>
      <c r="AL52" s="2"/>
      <c r="AM52" s="2"/>
      <c r="AN52" s="2"/>
      <c r="AO52" s="2"/>
      <c r="AP52" s="20" t="s">
        <v>560</v>
      </c>
      <c r="AQ52" s="2"/>
      <c r="AR52" s="20" t="s">
        <v>37</v>
      </c>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0" t="s">
        <v>73</v>
      </c>
      <c r="DA52" s="2"/>
      <c r="DB52" s="20" t="s">
        <v>97</v>
      </c>
      <c r="DC52" s="2"/>
      <c r="DD52" s="2"/>
      <c r="DE52" s="2"/>
      <c r="DF52" s="2"/>
      <c r="DG52" s="2"/>
      <c r="DH52" s="20" t="s">
        <v>103</v>
      </c>
      <c r="DI52" s="2"/>
      <c r="DJ52" s="2"/>
      <c r="DK52" s="2"/>
      <c r="DL52" s="2"/>
      <c r="DM52" s="2"/>
      <c r="DN52" s="2"/>
      <c r="DO52" s="2"/>
      <c r="DP52" s="2"/>
      <c r="DQ52" s="2"/>
      <c r="DR52" s="2"/>
      <c r="DS52" s="2"/>
      <c r="DT52" s="2"/>
      <c r="DU52" s="2"/>
      <c r="DV52" s="2"/>
      <c r="DW52" s="2"/>
      <c r="DX52" s="2"/>
      <c r="DY52" s="2"/>
      <c r="DZ52" s="2"/>
      <c r="EA52" s="2"/>
      <c r="EB52" s="20" t="s">
        <v>121</v>
      </c>
      <c r="EC52" s="2"/>
      <c r="ED52" s="2"/>
      <c r="EE52" s="2"/>
      <c r="EF52" s="2"/>
      <c r="EG52" s="2"/>
      <c r="EH52" s="20" t="s">
        <v>127</v>
      </c>
      <c r="EI52" s="2"/>
      <c r="EJ52" s="2"/>
      <c r="EK52" s="2"/>
      <c r="EL52" s="2"/>
      <c r="EM52" s="2"/>
      <c r="EN52" s="20" t="s">
        <v>133</v>
      </c>
      <c r="EO52" s="2"/>
      <c r="EP52" s="2"/>
      <c r="EQ52" s="2"/>
      <c r="ER52" s="2"/>
      <c r="ES52" s="2"/>
      <c r="ET52" s="2"/>
      <c r="EU52" s="2"/>
      <c r="EV52" s="2"/>
      <c r="EW52" s="2"/>
      <c r="EX52" s="20" t="s">
        <v>141</v>
      </c>
      <c r="EY52" s="2"/>
      <c r="EZ52" s="2"/>
      <c r="FA52" s="2"/>
      <c r="FB52" s="20" t="s">
        <v>145</v>
      </c>
      <c r="FC52" s="2"/>
      <c r="FD52" s="2"/>
      <c r="FE52" s="2"/>
      <c r="FF52" s="20" t="s">
        <v>149</v>
      </c>
      <c r="FG52" s="2"/>
      <c r="FH52" s="2"/>
      <c r="FI52" s="2"/>
      <c r="FJ52" s="2"/>
      <c r="FK52" s="2"/>
      <c r="FL52" s="20" t="s">
        <v>155</v>
      </c>
      <c r="FM52" s="2"/>
      <c r="FN52" s="2"/>
      <c r="FO52" s="2"/>
      <c r="FP52" s="2"/>
      <c r="FQ52" s="2"/>
      <c r="FR52" s="2"/>
      <c r="FS52" s="2"/>
      <c r="FT52" s="2"/>
      <c r="FU52" s="2"/>
      <c r="FV52" s="2"/>
      <c r="FW52" s="2"/>
      <c r="FX52" s="2"/>
      <c r="FY52" s="2"/>
      <c r="FZ52" s="20" t="s">
        <v>167</v>
      </c>
      <c r="GA52" s="2"/>
      <c r="GB52" s="20" t="s">
        <v>169</v>
      </c>
      <c r="GC52" s="2"/>
      <c r="GD52" s="2"/>
      <c r="GE52" s="2"/>
      <c r="GF52" s="2"/>
      <c r="GG52" s="2"/>
      <c r="GH52" s="20" t="s">
        <v>173</v>
      </c>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0" t="s">
        <v>73</v>
      </c>
      <c r="HS52" s="2"/>
      <c r="HT52" s="20" t="s">
        <v>207</v>
      </c>
      <c r="HU52" s="2"/>
      <c r="HV52" s="2"/>
      <c r="HW52" s="2"/>
      <c r="HX52" s="2"/>
      <c r="HY52" s="2"/>
      <c r="HZ52" s="2"/>
      <c r="IA52" s="2"/>
      <c r="IB52" s="2"/>
      <c r="IC52" s="2"/>
      <c r="ID52" s="20" t="s">
        <v>215</v>
      </c>
      <c r="IE52" s="2"/>
      <c r="IF52" s="2"/>
      <c r="IG52" s="2"/>
      <c r="IH52" s="2"/>
      <c r="II52" s="2"/>
      <c r="IJ52" s="2"/>
      <c r="IK52" s="2"/>
      <c r="IL52" s="2"/>
      <c r="IM52" s="2"/>
      <c r="IN52" s="2"/>
      <c r="IO52" s="2"/>
      <c r="IP52" s="2"/>
      <c r="IQ52" s="2"/>
      <c r="IR52" s="2"/>
      <c r="IS52" s="2"/>
      <c r="IT52" s="20" t="s">
        <v>73</v>
      </c>
      <c r="IU52" s="2"/>
      <c r="IV52" s="2"/>
      <c r="IW52" s="2"/>
      <c r="IX52" s="20" t="s">
        <v>73</v>
      </c>
      <c r="IY52" s="2"/>
      <c r="IZ52" s="2"/>
      <c r="JA52" s="2"/>
      <c r="JB52" s="20" t="s">
        <v>73</v>
      </c>
      <c r="JC52" s="2"/>
      <c r="JD52" s="2"/>
      <c r="JE52" s="2"/>
      <c r="JF52" s="20" t="s">
        <v>73</v>
      </c>
      <c r="JG52" s="2"/>
      <c r="JH52" s="2"/>
      <c r="JI52" s="2"/>
      <c r="JJ52" s="2"/>
      <c r="JK52" s="2"/>
      <c r="JL52" s="2"/>
      <c r="JM52" s="2"/>
      <c r="JN52" s="2"/>
      <c r="JO52" s="2"/>
      <c r="JP52" s="2"/>
      <c r="JQ52" s="2"/>
      <c r="JR52" s="2"/>
      <c r="JS52" s="2"/>
      <c r="JT52" s="2"/>
      <c r="JU52" s="2"/>
      <c r="JV52" s="2"/>
      <c r="JW52" s="2"/>
      <c r="JX52" s="20" t="s">
        <v>251</v>
      </c>
      <c r="JY52" s="2"/>
      <c r="JZ52" s="2"/>
      <c r="KA52" s="2"/>
      <c r="KB52" s="2"/>
      <c r="KC52" s="2"/>
      <c r="KD52" s="2"/>
      <c r="KE52" s="2"/>
      <c r="KF52" s="2"/>
      <c r="KG52" s="2"/>
      <c r="KH52" s="20" t="s">
        <v>561</v>
      </c>
      <c r="KI52" s="2"/>
      <c r="KJ52" s="20" t="s">
        <v>562</v>
      </c>
      <c r="KK52" s="2"/>
      <c r="KL52" s="1"/>
      <c r="KM52" s="1"/>
    </row>
    <row r="53" spans="1:299" ht="60" customHeight="1" x14ac:dyDescent="0.25">
      <c r="A53" s="5" t="str">
        <f t="shared" si="1"/>
        <v xml:space="preserve">Ghafari, et al, (2026) </v>
      </c>
      <c r="B53" s="3" t="str">
        <f t="shared" si="2"/>
        <v>Molecular evolutionary analysis of the current Bundibugyo virus disease outbreak in DRC and Uganda</v>
      </c>
      <c r="C53" s="4" t="str">
        <f t="shared" si="3"/>
        <v>Primary - short communication, Modeling, Other grey literature report</v>
      </c>
      <c r="D53" s="4" t="str">
        <f t="shared" si="4"/>
        <v>Bundibugyo</v>
      </c>
      <c r="E53" s="4" t="str">
        <f t="shared" si="5"/>
        <v>Yes</v>
      </c>
      <c r="F53" s="4" t="str">
        <f t="shared" si="6"/>
        <v>Analysis of 10 BDBV sequences from DRC and Uganda share a most recent common ancestor between March 1 and March 15, 2026, and exhibit significant genetic diversity, indicating the outbreak had been circulating undetected for several weeks. Preliminary estimates suggest an epidemic doubling time (range: 15.2 to 24.5 days) and a reproduction number (𝑅0) above 1 (range: 1.31 to 1.55). These findings should be interpreted cautiously due to substantial uncertainty. 
Estimates of doublings per year was determined using a generation time estimate from incubation and infectious period estimates from previous outbreak.</v>
      </c>
      <c r="G53" s="4" t="str">
        <f t="shared" si="7"/>
        <v>Reproduction Number; Size or Duration estimate; Pathogen mutations; Phylogenetic analysis/molecular epidemiology</v>
      </c>
      <c r="H53" s="4" t="str">
        <f t="shared" si="8"/>
        <v/>
      </c>
      <c r="I53" s="4" t="str">
        <f t="shared" si="9"/>
        <v/>
      </c>
      <c r="J53" s="5" t="str">
        <f t="shared" si="10"/>
        <v>REPRODUCTION NUMBER:
The corresponding reproduction number (𝑅0) estimates are centred above 1, with mean estimates ranging from 1.31 to 1.55, although substantial uncertainty remains because of the limited number of sequences currently available.  The reproduction number was estimated from the number of doublings per year using a generation time estimate derived from previous outbreak published incubation and infectious-period estimates for Bundibugyo virus disease.
OUTBREAK SIZE AND DURATION - DOUBLING TIME:
The estimated epidemic doubling time is relatively slow but highly uncertain. Across the six substitution-rate assumptions, the mean estimated doubling time ranges from 15.2 to 24.5 days,  although the corresponding uncertainty intervals are wide and include zero and should therefore be interpreted cautiously.
MUTATIONS &amp; PHYLOGENETIC ANALYSIS: The sampled viruses appear to share a most recent common ancestor in early-to-mid March 2026 and are already genetically diverse. Researchers identified 23 unique mutations across the 10 sequences sampled.</v>
      </c>
      <c r="K53" s="5" t="str">
        <f t="shared" si="11"/>
        <v>Outbreak-associated BDBV sequences were downloaded from Pathoplexus and were aligned to the reference genome FJ217161.1 using MAFFT v7.490, then manually inspected in AliView. Ancestral node reconstruction was performed using IQ-TREE v3.0.1 and the best-fitting substitution model, HKY+F+I. This analysis was used to reconstruct the consensus sequence of the most recent common ancestor (MRCA) of the sampled outbreak sequences. This reconstructed MRCA sequence was then used as the root for the outbreak mutation reconstruction.
We used systematically collected Ebola virus disease parameters7 available through {epireview}8 to identify previous estimates of epidemiological delays for Bundibugyo virus disease.9,10 This gave a generation time estimate of 9.6 days. The uncertainty intervals for 𝑅0 were obtained by propagating the 95% HPD interval from the estimated number of doublings per year.
The estimated growth rates and 𝑅0 values are likely affected by sampling bias. The sequences included here were collected between 03 May 2026 and 20 May 2026, and therefore represent a short time window around the identification and declaration of the BVD outbreak.11 Situation reports12,13 and independent epidemiological analyses14 suggest that, even at the time these sequences were generated, the outbreak was already substantially larger than the available sequence data alone would indicate.
All analyses were performed in Delphy1 and run until the minimum effective sample size was greater than 100. The reproduction number was estimated from the number of doublings per year using a generation time estimate derived from published incubation and infectious-period estimates for Bundibugyo virus disease.7-10</v>
      </c>
      <c r="N53" s="2" t="str">
        <f t="shared" si="12"/>
        <v>https://virological.org/t/molecular-evolutionary-analysis-of-the-current-bundibugyo-virus-disease-outbreak-in-drc-and-uganda/1042</v>
      </c>
      <c r="O53" s="20">
        <v>134</v>
      </c>
      <c r="P53" s="20" t="s">
        <v>1371</v>
      </c>
      <c r="Q53" s="20" t="s">
        <v>563</v>
      </c>
      <c r="R53" s="2"/>
      <c r="S53" s="20" t="s">
        <v>564</v>
      </c>
      <c r="T53" s="20" t="s">
        <v>266</v>
      </c>
      <c r="U53" s="2"/>
      <c r="V53" s="20" t="s">
        <v>267</v>
      </c>
      <c r="W53" s="2"/>
      <c r="X53" s="20" t="s">
        <v>564</v>
      </c>
      <c r="Y53" s="2"/>
      <c r="Z53" s="20" t="s">
        <v>21</v>
      </c>
      <c r="AA53" s="2"/>
      <c r="AB53" s="2"/>
      <c r="AC53" s="2"/>
      <c r="AD53" s="20" t="s">
        <v>352</v>
      </c>
      <c r="AE53" s="2"/>
      <c r="AF53" s="20" t="s">
        <v>270</v>
      </c>
      <c r="AG53" s="2"/>
      <c r="AH53" s="2"/>
      <c r="AI53" s="20" t="s">
        <v>306</v>
      </c>
      <c r="AJ53" s="2"/>
      <c r="AK53" s="20" t="s">
        <v>490</v>
      </c>
      <c r="AL53" s="2"/>
      <c r="AM53" s="2"/>
      <c r="AN53" s="2"/>
      <c r="AO53" s="2"/>
      <c r="AP53" s="20" t="s">
        <v>565</v>
      </c>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0" t="s">
        <v>73</v>
      </c>
      <c r="CC53" s="2"/>
      <c r="CD53" s="2"/>
      <c r="CE53" s="2"/>
      <c r="CF53" s="2"/>
      <c r="CG53" s="2"/>
      <c r="CH53" s="2"/>
      <c r="CI53" s="2"/>
      <c r="CJ53" s="2"/>
      <c r="CK53" s="2"/>
      <c r="CL53" s="20" t="s">
        <v>83</v>
      </c>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0" t="s">
        <v>73</v>
      </c>
      <c r="DW53" s="2"/>
      <c r="DX53" s="2"/>
      <c r="DY53" s="2"/>
      <c r="DZ53" s="2"/>
      <c r="EA53" s="2"/>
      <c r="EB53" s="2"/>
      <c r="EC53" s="2"/>
      <c r="ED53" s="2"/>
      <c r="EE53" s="2"/>
      <c r="EF53" s="20" t="s">
        <v>125</v>
      </c>
      <c r="EG53" s="2"/>
      <c r="EH53" s="2"/>
      <c r="EI53" s="2"/>
      <c r="EJ53" s="2"/>
      <c r="EK53" s="2"/>
      <c r="EL53" s="2"/>
      <c r="EM53" s="2"/>
      <c r="EN53" s="2"/>
      <c r="EO53" s="2"/>
      <c r="EP53" s="20" t="s">
        <v>135</v>
      </c>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0" t="s">
        <v>73</v>
      </c>
      <c r="FS53" s="2"/>
      <c r="FT53" s="2"/>
      <c r="FU53" s="2"/>
      <c r="FV53" s="2"/>
      <c r="FW53" s="2"/>
      <c r="FX53" s="2"/>
      <c r="FY53" s="2"/>
      <c r="FZ53" s="2"/>
      <c r="GA53" s="2"/>
      <c r="GB53" s="2"/>
      <c r="GC53" s="2"/>
      <c r="GD53" s="2"/>
      <c r="GE53" s="2"/>
      <c r="GF53" s="20" t="s">
        <v>73</v>
      </c>
      <c r="GG53" s="2"/>
      <c r="GH53" s="2"/>
      <c r="GI53" s="2"/>
      <c r="GJ53" s="2"/>
      <c r="GK53" s="2"/>
      <c r="GL53" s="2"/>
      <c r="GM53" s="2"/>
      <c r="GN53" s="2"/>
      <c r="GO53" s="2"/>
      <c r="GP53" s="20" t="s">
        <v>73</v>
      </c>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0" t="s">
        <v>73</v>
      </c>
      <c r="HS53" s="2"/>
      <c r="HT53" s="2"/>
      <c r="HU53" s="2"/>
      <c r="HV53" s="2"/>
      <c r="HW53" s="2"/>
      <c r="HX53" s="2"/>
      <c r="HY53" s="2"/>
      <c r="HZ53" s="2"/>
      <c r="IA53" s="2"/>
      <c r="IB53" s="20" t="s">
        <v>73</v>
      </c>
      <c r="IC53" s="2"/>
      <c r="ID53" s="2"/>
      <c r="IE53" s="2"/>
      <c r="IF53" s="2"/>
      <c r="IG53" s="2"/>
      <c r="IH53" s="2"/>
      <c r="II53" s="2"/>
      <c r="IJ53" s="20" t="s">
        <v>73</v>
      </c>
      <c r="IK53" s="2"/>
      <c r="IL53" s="20" t="s">
        <v>221</v>
      </c>
      <c r="IM53" s="2"/>
      <c r="IN53" s="2"/>
      <c r="IO53" s="2"/>
      <c r="IP53" s="2"/>
      <c r="IQ53" s="2"/>
      <c r="IR53" s="20" t="s">
        <v>227</v>
      </c>
      <c r="IS53" s="2"/>
      <c r="IT53" s="2"/>
      <c r="IU53" s="2"/>
      <c r="IV53" s="2"/>
      <c r="IW53" s="2"/>
      <c r="IX53" s="20" t="s">
        <v>73</v>
      </c>
      <c r="IY53" s="2"/>
      <c r="IZ53" s="2"/>
      <c r="JA53" s="2"/>
      <c r="JB53" s="20" t="s">
        <v>73</v>
      </c>
      <c r="JC53" s="2"/>
      <c r="JD53" s="2"/>
      <c r="JE53" s="2"/>
      <c r="JF53" s="20" t="s">
        <v>73</v>
      </c>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0" t="s">
        <v>73</v>
      </c>
      <c r="KG53" s="2"/>
      <c r="KH53" s="20" t="s">
        <v>566</v>
      </c>
      <c r="KI53" s="2"/>
      <c r="KJ53" s="20" t="s">
        <v>567</v>
      </c>
      <c r="KK53" s="2"/>
      <c r="KL53" s="1"/>
      <c r="KM53" s="1"/>
    </row>
    <row r="54" spans="1:299" ht="60" customHeight="1" x14ac:dyDescent="0.25">
      <c r="A54" s="5" t="str">
        <f t="shared" si="1"/>
        <v>Kenyi, et al, (2026), South Sudan Medical Journal</v>
      </c>
      <c r="B54" s="3" t="str">
        <f t="shared" si="2"/>
        <v>Ebola: The Bundibugyo virus is back</v>
      </c>
      <c r="C54" s="4" t="str">
        <f t="shared" si="3"/>
        <v>Commentary, Peer-reviewed publication</v>
      </c>
      <c r="D54" s="4" t="str">
        <f t="shared" si="4"/>
        <v>Bundibugyo</v>
      </c>
      <c r="E54" s="4" t="str">
        <f t="shared" si="5"/>
        <v>Yes</v>
      </c>
      <c r="F54" s="4" t="str">
        <f t="shared" si="6"/>
        <v/>
      </c>
      <c r="G54" s="4" t="str">
        <f t="shared" si="7"/>
        <v/>
      </c>
      <c r="H54" s="4" t="str">
        <f t="shared" si="8"/>
        <v/>
      </c>
      <c r="I54" s="4" t="str">
        <f t="shared" si="9"/>
        <v/>
      </c>
      <c r="J54" s="5" t="str">
        <f t="shared" si="10"/>
        <v/>
      </c>
      <c r="K54" s="5" t="str">
        <f t="shared" si="11"/>
        <v/>
      </c>
      <c r="N54" s="2" t="str">
        <f t="shared" si="12"/>
        <v>https://doi.org/10.4314/ssmj.v19i2.1</v>
      </c>
      <c r="O54" s="20">
        <v>139</v>
      </c>
      <c r="P54" s="20" t="s">
        <v>568</v>
      </c>
      <c r="Q54" s="20" t="s">
        <v>569</v>
      </c>
      <c r="R54" s="20" t="s">
        <v>570</v>
      </c>
      <c r="S54" s="20" t="s">
        <v>571</v>
      </c>
      <c r="T54" s="20" t="s">
        <v>266</v>
      </c>
      <c r="U54" s="2"/>
      <c r="V54" s="20">
        <v>2</v>
      </c>
      <c r="W54" s="2"/>
      <c r="X54" s="20" t="s">
        <v>572</v>
      </c>
      <c r="Y54" s="2"/>
      <c r="Z54" s="20" t="s">
        <v>21</v>
      </c>
      <c r="AA54" s="2"/>
      <c r="AB54" s="2"/>
      <c r="AC54" s="2"/>
      <c r="AD54" s="20" t="s">
        <v>352</v>
      </c>
      <c r="AE54" s="2"/>
      <c r="AF54" s="20" t="s">
        <v>270</v>
      </c>
      <c r="AG54" s="2"/>
      <c r="AH54" s="2"/>
      <c r="AI54" s="20" t="s">
        <v>271</v>
      </c>
      <c r="AJ54" s="2"/>
      <c r="AK54" s="20" t="s">
        <v>425</v>
      </c>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row>
    <row r="55" spans="1:299" ht="60" customHeight="1" x14ac:dyDescent="0.25">
      <c r="A55" s="5" t="str">
        <f t="shared" si="1"/>
        <v xml:space="preserve">Pan American Health Organization, (2026) </v>
      </c>
      <c r="B55" s="3" t="str">
        <f t="shared" si="2"/>
        <v>PAHO steps up preparedness across the Americas amid Ebola outbreak in Africa</v>
      </c>
      <c r="C55" s="4" t="str">
        <f t="shared" si="3"/>
        <v>News, Government report</v>
      </c>
      <c r="D55" s="4" t="str">
        <f t="shared" si="4"/>
        <v>Bundibugyo</v>
      </c>
      <c r="E55" s="4" t="str">
        <f t="shared" si="5"/>
        <v>Yes</v>
      </c>
      <c r="F55" s="4" t="str">
        <f t="shared" si="6"/>
        <v/>
      </c>
      <c r="G55" s="4" t="str">
        <f t="shared" si="7"/>
        <v/>
      </c>
      <c r="H55" s="4" t="str">
        <f t="shared" si="8"/>
        <v/>
      </c>
      <c r="I55" s="4" t="str">
        <f t="shared" si="9"/>
        <v/>
      </c>
      <c r="J55" s="5" t="str">
        <f t="shared" si="10"/>
        <v/>
      </c>
      <c r="K55" s="5" t="str">
        <f t="shared" si="11"/>
        <v/>
      </c>
      <c r="N55" s="2" t="str">
        <f t="shared" si="12"/>
        <v>https://www.paho.org/en/news/4-6-2026-paho-steps-preparedness-across-americas-amid-ebola-outbreak-africa</v>
      </c>
      <c r="O55" s="20">
        <v>141</v>
      </c>
      <c r="P55" s="20" t="s">
        <v>1372</v>
      </c>
      <c r="Q55" s="20" t="s">
        <v>573</v>
      </c>
      <c r="R55" s="2"/>
      <c r="S55" s="20" t="s">
        <v>574</v>
      </c>
      <c r="T55" s="20" t="s">
        <v>266</v>
      </c>
      <c r="U55" s="2"/>
      <c r="V55" s="20">
        <v>2</v>
      </c>
      <c r="W55" s="2"/>
      <c r="X55" s="20" t="s">
        <v>574</v>
      </c>
      <c r="Y55" s="2"/>
      <c r="Z55" s="20" t="s">
        <v>21</v>
      </c>
      <c r="AA55" s="2"/>
      <c r="AB55" s="2"/>
      <c r="AC55" s="2"/>
      <c r="AD55" s="20" t="s">
        <v>352</v>
      </c>
      <c r="AE55" s="2"/>
      <c r="AF55" s="20" t="s">
        <v>270</v>
      </c>
      <c r="AG55" s="2"/>
      <c r="AH55" s="2"/>
      <c r="AI55" s="20" t="s">
        <v>437</v>
      </c>
      <c r="AJ55" s="2"/>
      <c r="AK55" s="20" t="s">
        <v>307</v>
      </c>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row>
    <row r="56" spans="1:299" ht="60" customHeight="1" x14ac:dyDescent="0.25">
      <c r="A56" s="5" t="str">
        <f t="shared" si="1"/>
        <v>ChamlaD, et al, (2026), SSRN</v>
      </c>
      <c r="B56" s="3" t="str">
        <f t="shared" si="2"/>
        <v>Risk of Cross-Border Spillover from the 2026 Bundibugyo Ebolavirus Outbreak in Ituri Province, Democratic Republic of the Congo and Its Implications on Preparedness: A Stochastic Modelling Study</v>
      </c>
      <c r="C56" s="4" t="str">
        <f t="shared" si="3"/>
        <v>Primary - article, Modeling, Preprint</v>
      </c>
      <c r="D56" s="4" t="str">
        <f t="shared" si="4"/>
        <v>Bundibugyo</v>
      </c>
      <c r="E56" s="4" t="str">
        <f t="shared" si="5"/>
        <v>Yes</v>
      </c>
      <c r="F56" s="4" t="str">
        <f t="shared" si="6"/>
        <v>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v>
      </c>
      <c r="G56" s="4" t="str">
        <f t="shared" si="7"/>
        <v>Size or Duration estimate; Mortality; Border measure - PHM</v>
      </c>
      <c r="H56" s="4" t="str">
        <f t="shared" si="8"/>
        <v>Human - General population</v>
      </c>
      <c r="I56" s="4" t="str">
        <f t="shared" si="9"/>
        <v/>
      </c>
      <c r="J56" s="5" t="str">
        <f t="shared" si="10"/>
        <v>Epi parameters - outbreak size &amp; Clinical data - mortality: Under the central transmissibility scenario, cumulative reported cases reached a median of 229 by week 12 (90% prediction interval 143-358), with a projected median of 77 deaths. Uganda had the highest probability of importation (79.9%), consistent with the subsequently confirmed imported case. South Sudan had a projected importation probability of 37.5%, whereas Rwanda (3.0%) and Burundi (0.4%) remained at low risk. 
PHM - Border measures:  Although Bundibugyo ebolavirus is associated with lower transmissibility and mortality than Zaire ebolavirus, the prolonged pre-detection period and extensive regional population mobility create substantial risk of cross-border dissemination. Preparedness interventions should prioritise Uganda and South Sudan to mitigate potential spread and strengthen regional containment capacity.</v>
      </c>
      <c r="K56" s="5" t="str">
        <f t="shared" si="11"/>
        <v>Developed a stochastic susceptible-exposed-infectious-recovered-dead (SEIRD) ensemble model calibrated to observed reported case counts and parameterised using historical Bundibugyo ebolavirus transmission characteristics. Three transmissibility scenarios were modelled over a 12-week horizon. A linked spillover model estimated the probability of importation into neighbouring countries using mobility volumes, infectious prevalence, and residual undetected border-crossing assumptions.</v>
      </c>
      <c r="N56" s="2" t="str">
        <f t="shared" si="12"/>
        <v>https://doi.org/10.2139/ssrn.6794410</v>
      </c>
      <c r="O56" s="20">
        <v>149</v>
      </c>
      <c r="P56" s="20" t="s">
        <v>575</v>
      </c>
      <c r="Q56" s="20" t="s">
        <v>576</v>
      </c>
      <c r="R56" s="20" t="s">
        <v>577</v>
      </c>
      <c r="S56" s="20" t="s">
        <v>578</v>
      </c>
      <c r="T56" s="20" t="s">
        <v>433</v>
      </c>
      <c r="U56" s="2"/>
      <c r="V56" s="20" t="s">
        <v>267</v>
      </c>
      <c r="W56" s="2"/>
      <c r="X56" s="20" t="s">
        <v>579</v>
      </c>
      <c r="Y56" s="2"/>
      <c r="Z56" s="20" t="s">
        <v>21</v>
      </c>
      <c r="AA56" s="2"/>
      <c r="AB56" s="2"/>
      <c r="AC56" s="2"/>
      <c r="AD56" s="20" t="s">
        <v>352</v>
      </c>
      <c r="AE56" s="2"/>
      <c r="AF56" s="20" t="s">
        <v>270</v>
      </c>
      <c r="AG56" s="2"/>
      <c r="AH56" s="2"/>
      <c r="AI56" s="20" t="s">
        <v>353</v>
      </c>
      <c r="AJ56" s="2"/>
      <c r="AK56" s="20" t="s">
        <v>272</v>
      </c>
      <c r="AL56" s="2"/>
      <c r="AM56" s="2"/>
      <c r="AN56" s="2"/>
      <c r="AO56" s="2"/>
      <c r="AP56" s="20" t="s">
        <v>580</v>
      </c>
      <c r="AQ56" s="2"/>
      <c r="AR56" s="20" t="s">
        <v>37</v>
      </c>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0" t="s">
        <v>83</v>
      </c>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0" t="s">
        <v>73</v>
      </c>
      <c r="DW56" s="2"/>
      <c r="DX56" s="2"/>
      <c r="DY56" s="2"/>
      <c r="DZ56" s="2"/>
      <c r="EA56" s="2"/>
      <c r="EB56" s="2"/>
      <c r="EC56" s="2"/>
      <c r="ED56" s="2"/>
      <c r="EE56" s="2"/>
      <c r="EF56" s="2"/>
      <c r="EG56" s="2"/>
      <c r="EH56" s="2"/>
      <c r="EI56" s="2"/>
      <c r="EJ56" s="2"/>
      <c r="EK56" s="2"/>
      <c r="EL56" s="2"/>
      <c r="EM56" s="2"/>
      <c r="EN56" s="2"/>
      <c r="EO56" s="2"/>
      <c r="EP56" s="20" t="s">
        <v>135</v>
      </c>
      <c r="EQ56" s="2"/>
      <c r="ER56" s="2"/>
      <c r="ES56" s="2"/>
      <c r="ET56" s="2"/>
      <c r="EU56" s="2"/>
      <c r="EV56" s="2"/>
      <c r="EW56" s="2"/>
      <c r="EX56" s="2"/>
      <c r="EY56" s="2"/>
      <c r="EZ56" s="2"/>
      <c r="FA56" s="2"/>
      <c r="FB56" s="2"/>
      <c r="FC56" s="2"/>
      <c r="FD56" s="2"/>
      <c r="FE56" s="2"/>
      <c r="FF56" s="20" t="s">
        <v>149</v>
      </c>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0" t="s">
        <v>73</v>
      </c>
      <c r="GG56" s="2"/>
      <c r="GH56" s="2"/>
      <c r="GI56" s="2"/>
      <c r="GJ56" s="2"/>
      <c r="GK56" s="2"/>
      <c r="GL56" s="2"/>
      <c r="GM56" s="2"/>
      <c r="GN56" s="2"/>
      <c r="GO56" s="2"/>
      <c r="GP56" s="20" t="s">
        <v>73</v>
      </c>
      <c r="GQ56" s="2"/>
      <c r="GR56" s="2"/>
      <c r="GS56" s="2"/>
      <c r="GT56" s="2"/>
      <c r="GU56" s="2"/>
      <c r="GV56" s="2"/>
      <c r="GW56" s="2"/>
      <c r="GX56" s="2"/>
      <c r="GY56" s="2"/>
      <c r="GZ56" s="20" t="s">
        <v>189</v>
      </c>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0" t="s">
        <v>73</v>
      </c>
      <c r="IC56" s="2"/>
      <c r="ID56" s="2"/>
      <c r="IE56" s="2"/>
      <c r="IF56" s="2"/>
      <c r="IG56" s="2"/>
      <c r="IH56" s="2"/>
      <c r="II56" s="2"/>
      <c r="IJ56" s="20" t="s">
        <v>73</v>
      </c>
      <c r="IK56" s="2"/>
      <c r="IL56" s="2"/>
      <c r="IM56" s="2"/>
      <c r="IN56" s="2"/>
      <c r="IO56" s="2"/>
      <c r="IP56" s="2"/>
      <c r="IQ56" s="2"/>
      <c r="IR56" s="2"/>
      <c r="IS56" s="2"/>
      <c r="IT56" s="20" t="s">
        <v>73</v>
      </c>
      <c r="IU56" s="2"/>
      <c r="IV56" s="2"/>
      <c r="IW56" s="2"/>
      <c r="IX56" s="20" t="s">
        <v>73</v>
      </c>
      <c r="IY56" s="2"/>
      <c r="IZ56" s="2"/>
      <c r="JA56" s="2"/>
      <c r="JB56" s="20" t="s">
        <v>73</v>
      </c>
      <c r="JC56" s="2"/>
      <c r="JD56" s="2"/>
      <c r="JE56" s="2"/>
      <c r="JF56" s="20" t="s">
        <v>73</v>
      </c>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0" t="s">
        <v>73</v>
      </c>
      <c r="KG56" s="2"/>
      <c r="KH56" s="20" t="s">
        <v>581</v>
      </c>
      <c r="KI56" s="2"/>
      <c r="KJ56" s="20" t="s">
        <v>582</v>
      </c>
      <c r="KK56" s="2"/>
    </row>
    <row r="57" spans="1:299" ht="60" customHeight="1" x14ac:dyDescent="0.25">
      <c r="A57" s="5" t="str">
        <f t="shared" si="1"/>
        <v>Hoenen, et al, (2026), Npj viruses</v>
      </c>
      <c r="B57" s="3" t="str">
        <f t="shared" si="2"/>
        <v>Bundibugyo virus-perspectives for the current outbreak</v>
      </c>
      <c r="C57" s="4" t="str">
        <f t="shared" si="3"/>
        <v>Commentary, Peer-reviewed publication</v>
      </c>
      <c r="D57" s="4" t="str">
        <f t="shared" si="4"/>
        <v>Bundibugyo</v>
      </c>
      <c r="E57" s="4" t="str">
        <f t="shared" si="5"/>
        <v>Yes</v>
      </c>
      <c r="F57" s="4" t="str">
        <f t="shared" si="6"/>
        <v/>
      </c>
      <c r="G57" s="4" t="str">
        <f t="shared" si="7"/>
        <v/>
      </c>
      <c r="H57" s="4" t="str">
        <f t="shared" si="8"/>
        <v/>
      </c>
      <c r="I57" s="4" t="str">
        <f t="shared" si="9"/>
        <v/>
      </c>
      <c r="J57" s="5" t="str">
        <f t="shared" si="10"/>
        <v/>
      </c>
      <c r="K57" s="5" t="str">
        <f t="shared" si="11"/>
        <v/>
      </c>
      <c r="N57" s="2" t="str">
        <f t="shared" si="12"/>
        <v>https://doi.org/10.1038/s44298-026-00204-6</v>
      </c>
      <c r="O57" s="20">
        <v>150</v>
      </c>
      <c r="P57" s="20" t="s">
        <v>583</v>
      </c>
      <c r="Q57" s="20" t="s">
        <v>584</v>
      </c>
      <c r="R57" s="20" t="s">
        <v>585</v>
      </c>
      <c r="S57" s="20" t="s">
        <v>586</v>
      </c>
      <c r="T57" s="20" t="s">
        <v>297</v>
      </c>
      <c r="U57" s="2"/>
      <c r="V57" s="20">
        <v>2</v>
      </c>
      <c r="W57" s="2"/>
      <c r="X57" s="20" t="s">
        <v>587</v>
      </c>
      <c r="Y57" s="2"/>
      <c r="Z57" s="20" t="s">
        <v>21</v>
      </c>
      <c r="AA57" s="2"/>
      <c r="AB57" s="2"/>
      <c r="AC57" s="2"/>
      <c r="AD57" s="20" t="s">
        <v>352</v>
      </c>
      <c r="AE57" s="2"/>
      <c r="AF57" s="20" t="s">
        <v>270</v>
      </c>
      <c r="AG57" s="2"/>
      <c r="AH57" s="2"/>
      <c r="AI57" s="20" t="s">
        <v>271</v>
      </c>
      <c r="AJ57" s="2"/>
      <c r="AK57" s="20" t="s">
        <v>425</v>
      </c>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row>
    <row r="58" spans="1:299" ht="60" customHeight="1" x14ac:dyDescent="0.25">
      <c r="A58" s="5" t="str">
        <f t="shared" si="1"/>
        <v xml:space="preserve">Belizaire, et al, (2026) </v>
      </c>
      <c r="B58" s="3" t="str">
        <f t="shared" si="2"/>
        <v>Bundibugyo virus disease outbreak in DR Congo: current trajectory and potential risk for a Pandemic Emergency</v>
      </c>
      <c r="C58" s="4" t="str">
        <f t="shared" si="3"/>
        <v>Commentary, Peer-reviewed publication</v>
      </c>
      <c r="D58" s="4" t="str">
        <f t="shared" si="4"/>
        <v>Bundibugyo</v>
      </c>
      <c r="E58" s="4" t="str">
        <f t="shared" si="5"/>
        <v>Yes</v>
      </c>
      <c r="F58" s="4" t="str">
        <f t="shared" si="6"/>
        <v/>
      </c>
      <c r="G58" s="4" t="str">
        <f t="shared" si="7"/>
        <v/>
      </c>
      <c r="H58" s="4" t="str">
        <f t="shared" si="8"/>
        <v/>
      </c>
      <c r="I58" s="4" t="str">
        <f t="shared" si="9"/>
        <v/>
      </c>
      <c r="J58" s="5" t="str">
        <f t="shared" si="10"/>
        <v/>
      </c>
      <c r="K58" s="5" t="str">
        <f t="shared" si="11"/>
        <v/>
      </c>
      <c r="N58" s="2" t="str">
        <f t="shared" si="12"/>
        <v>https://doi.org/10.1016/s1473-3099(26)00298-7</v>
      </c>
      <c r="O58" s="20">
        <v>151</v>
      </c>
      <c r="P58" s="20" t="s">
        <v>1373</v>
      </c>
      <c r="Q58" s="20" t="s">
        <v>588</v>
      </c>
      <c r="R58" s="20" t="s">
        <v>589</v>
      </c>
      <c r="S58" s="20" t="s">
        <v>590</v>
      </c>
      <c r="T58" s="20" t="s">
        <v>297</v>
      </c>
      <c r="U58" s="2"/>
      <c r="V58" s="20">
        <v>2</v>
      </c>
      <c r="W58" s="2"/>
      <c r="X58" s="20" t="s">
        <v>591</v>
      </c>
      <c r="Y58" s="2"/>
      <c r="Z58" s="20" t="s">
        <v>21</v>
      </c>
      <c r="AA58" s="2"/>
      <c r="AB58" s="2"/>
      <c r="AC58" s="2"/>
      <c r="AD58" s="20" t="s">
        <v>352</v>
      </c>
      <c r="AE58" s="2"/>
      <c r="AF58" s="20" t="s">
        <v>270</v>
      </c>
      <c r="AG58" s="2"/>
      <c r="AH58" s="2"/>
      <c r="AI58" s="20" t="s">
        <v>271</v>
      </c>
      <c r="AJ58" s="2"/>
      <c r="AK58" s="20" t="s">
        <v>425</v>
      </c>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row>
    <row r="59" spans="1:299" ht="60" customHeight="1" x14ac:dyDescent="0.25">
      <c r="A59" s="5" t="str">
        <f t="shared" si="1"/>
        <v>Houldcroft, et al, (2026), Microbial genomics</v>
      </c>
      <c r="B59" s="3" t="str">
        <f t="shared" si="2"/>
        <v>2026 Bundibugyo virus outbreak: the role of genomics in Orthoebolavirus outbreaks</v>
      </c>
      <c r="C59" s="4" t="str">
        <f t="shared" si="3"/>
        <v>Commentary, Peer-reviewed publication</v>
      </c>
      <c r="D59" s="4" t="str">
        <f t="shared" si="4"/>
        <v>Bundibugyo</v>
      </c>
      <c r="E59" s="4" t="str">
        <f t="shared" si="5"/>
        <v>Yes</v>
      </c>
      <c r="F59" s="4" t="str">
        <f t="shared" si="6"/>
        <v/>
      </c>
      <c r="G59" s="4" t="str">
        <f t="shared" si="7"/>
        <v/>
      </c>
      <c r="H59" s="4" t="str">
        <f t="shared" si="8"/>
        <v/>
      </c>
      <c r="I59" s="4" t="str">
        <f t="shared" si="9"/>
        <v/>
      </c>
      <c r="J59" s="5" t="str">
        <f t="shared" si="10"/>
        <v/>
      </c>
      <c r="K59" s="5" t="str">
        <f t="shared" si="11"/>
        <v/>
      </c>
      <c r="N59" s="2" t="str">
        <f t="shared" si="12"/>
        <v>https://doi.org/10.1099/mgen.0.001754</v>
      </c>
      <c r="O59" s="20">
        <v>152</v>
      </c>
      <c r="P59" s="20" t="s">
        <v>592</v>
      </c>
      <c r="Q59" s="20" t="s">
        <v>593</v>
      </c>
      <c r="R59" s="20" t="s">
        <v>594</v>
      </c>
      <c r="S59" s="20" t="s">
        <v>595</v>
      </c>
      <c r="T59" s="20" t="s">
        <v>297</v>
      </c>
      <c r="U59" s="2"/>
      <c r="V59" s="20">
        <v>2</v>
      </c>
      <c r="W59" s="2"/>
      <c r="X59" s="20" t="s">
        <v>596</v>
      </c>
      <c r="Y59" s="2"/>
      <c r="Z59" s="20" t="s">
        <v>21</v>
      </c>
      <c r="AA59" s="2"/>
      <c r="AB59" s="2"/>
      <c r="AC59" s="2"/>
      <c r="AD59" s="20" t="s">
        <v>352</v>
      </c>
      <c r="AE59" s="2"/>
      <c r="AF59" s="20" t="s">
        <v>270</v>
      </c>
      <c r="AG59" s="2"/>
      <c r="AH59" s="2"/>
      <c r="AI59" s="20" t="s">
        <v>271</v>
      </c>
      <c r="AJ59" s="2"/>
      <c r="AK59" s="20" t="s">
        <v>425</v>
      </c>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row>
    <row r="60" spans="1:299" ht="60" customHeight="1" x14ac:dyDescent="0.25">
      <c r="A60" s="5" t="str">
        <f t="shared" si="1"/>
        <v>Dhillon, et al, (2026), Lancet (London, England)</v>
      </c>
      <c r="B60" s="3" t="str">
        <f t="shared" si="2"/>
        <v>Rapid tests for Bundibugyo virus in DR Congo</v>
      </c>
      <c r="C60" s="4" t="str">
        <f t="shared" si="3"/>
        <v>Commentary, Peer-reviewed publication</v>
      </c>
      <c r="D60" s="4" t="str">
        <f t="shared" si="4"/>
        <v>Bundibugyo</v>
      </c>
      <c r="E60" s="4" t="str">
        <f t="shared" si="5"/>
        <v>Yes</v>
      </c>
      <c r="F60" s="4" t="str">
        <f t="shared" si="6"/>
        <v/>
      </c>
      <c r="G60" s="4" t="str">
        <f t="shared" si="7"/>
        <v/>
      </c>
      <c r="H60" s="4" t="str">
        <f t="shared" si="8"/>
        <v/>
      </c>
      <c r="I60" s="4" t="str">
        <f t="shared" si="9"/>
        <v/>
      </c>
      <c r="J60" s="5" t="str">
        <f t="shared" si="10"/>
        <v/>
      </c>
      <c r="K60" s="5" t="str">
        <f t="shared" si="11"/>
        <v/>
      </c>
      <c r="N60" s="2" t="str">
        <f t="shared" si="12"/>
        <v>https://doi.org/10.1016/s0140-6736(26)01044-5</v>
      </c>
      <c r="O60" s="20">
        <v>154</v>
      </c>
      <c r="P60" s="20" t="s">
        <v>597</v>
      </c>
      <c r="Q60" s="20" t="s">
        <v>598</v>
      </c>
      <c r="R60" s="20" t="s">
        <v>599</v>
      </c>
      <c r="S60" s="20" t="s">
        <v>600</v>
      </c>
      <c r="T60" s="20" t="s">
        <v>297</v>
      </c>
      <c r="U60" s="2"/>
      <c r="V60" s="20">
        <v>2</v>
      </c>
      <c r="W60" s="2"/>
      <c r="X60" s="20" t="s">
        <v>601</v>
      </c>
      <c r="Y60" s="2"/>
      <c r="Z60" s="20" t="s">
        <v>21</v>
      </c>
      <c r="AA60" s="2"/>
      <c r="AB60" s="2"/>
      <c r="AC60" s="2"/>
      <c r="AD60" s="20" t="s">
        <v>352</v>
      </c>
      <c r="AE60" s="2"/>
      <c r="AF60" s="20" t="s">
        <v>270</v>
      </c>
      <c r="AG60" s="2"/>
      <c r="AH60" s="2"/>
      <c r="AI60" s="20" t="s">
        <v>271</v>
      </c>
      <c r="AJ60" s="2"/>
      <c r="AK60" s="20" t="s">
        <v>425</v>
      </c>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row>
    <row r="61" spans="1:299" ht="60" customHeight="1" x14ac:dyDescent="0.25">
      <c r="A61" s="5" t="str">
        <f t="shared" si="1"/>
        <v xml:space="preserve">Nachega, et al, (2026) </v>
      </c>
      <c r="B61" s="3" t="str">
        <f t="shared" si="2"/>
        <v>Therapeutic and prophylactic strategies for Ebola caused by Bundibugyo virus</v>
      </c>
      <c r="C61" s="4" t="str">
        <f t="shared" si="3"/>
        <v>Commentary, Peer-reviewed publication</v>
      </c>
      <c r="D61" s="4" t="str">
        <f t="shared" si="4"/>
        <v>Bundibugyo</v>
      </c>
      <c r="E61" s="4" t="str">
        <f t="shared" si="5"/>
        <v>Yes</v>
      </c>
      <c r="F61" s="4" t="str">
        <f t="shared" si="6"/>
        <v/>
      </c>
      <c r="G61" s="4" t="str">
        <f t="shared" si="7"/>
        <v/>
      </c>
      <c r="H61" s="4" t="str">
        <f t="shared" si="8"/>
        <v/>
      </c>
      <c r="I61" s="4" t="str">
        <f t="shared" si="9"/>
        <v/>
      </c>
      <c r="J61" s="5" t="str">
        <f t="shared" si="10"/>
        <v/>
      </c>
      <c r="K61" s="5" t="str">
        <f t="shared" si="11"/>
        <v/>
      </c>
      <c r="N61" s="2" t="str">
        <f t="shared" si="12"/>
        <v>https://doi.org/10.1038/d41573-026-00094-6</v>
      </c>
      <c r="O61" s="20">
        <v>207</v>
      </c>
      <c r="P61" s="20" t="s">
        <v>1374</v>
      </c>
      <c r="Q61" s="20" t="s">
        <v>602</v>
      </c>
      <c r="R61" s="20" t="s">
        <v>603</v>
      </c>
      <c r="S61" s="20" t="s">
        <v>604</v>
      </c>
      <c r="T61" s="20" t="s">
        <v>266</v>
      </c>
      <c r="U61" s="2"/>
      <c r="V61" s="20">
        <v>2</v>
      </c>
      <c r="W61" s="2"/>
      <c r="X61" s="20" t="s">
        <v>605</v>
      </c>
      <c r="Y61" s="2"/>
      <c r="Z61" s="20" t="s">
        <v>21</v>
      </c>
      <c r="AA61" s="2"/>
      <c r="AB61" s="2"/>
      <c r="AC61" s="2"/>
      <c r="AD61" s="20" t="s">
        <v>352</v>
      </c>
      <c r="AE61" s="2"/>
      <c r="AF61" s="20" t="s">
        <v>270</v>
      </c>
      <c r="AG61" s="2"/>
      <c r="AH61" s="2"/>
      <c r="AI61" s="20" t="s">
        <v>271</v>
      </c>
      <c r="AJ61" s="2"/>
      <c r="AK61" s="20" t="s">
        <v>425</v>
      </c>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row>
    <row r="62" spans="1:299" ht="60" customHeight="1" x14ac:dyDescent="0.25">
      <c r="A62" s="5" t="str">
        <f t="shared" si="1"/>
        <v>Mooring, et al, (2026), MMWR Morb Mortal Wkly Rep.</v>
      </c>
      <c r="B62" s="3" t="str">
        <f t="shared" si="2"/>
        <v>Modeled Scenario Projections for the Ebola Disease Outbreak Caused by Bundibugyo Virus, 2026</v>
      </c>
      <c r="C62" s="4" t="str">
        <f t="shared" si="3"/>
        <v>Primary - article, Modeling, Peer-reviewed publication</v>
      </c>
      <c r="D62" s="4" t="str">
        <f t="shared" si="4"/>
        <v>Bundibugyo</v>
      </c>
      <c r="E62" s="4" t="str">
        <f t="shared" si="5"/>
        <v>Yes</v>
      </c>
      <c r="F62" s="4" t="str">
        <f t="shared" si="6"/>
        <v>With poor isolation levels of patients with BVD (20%) and no other interventions, the likelihood of an outbreak that exceeds 20,000 cases within 3 months is 65%. If, however a high proportion of patients were to enter isolation (70%), only a one in 20 chance is projected for an outbreak with ≥10,000 cases within 3 months.</v>
      </c>
      <c r="G62" s="4" t="str">
        <f t="shared" si="7"/>
        <v>Reproduction Number; Size or Duration estimate; Mortality</v>
      </c>
      <c r="H62" s="4" t="str">
        <f t="shared" si="8"/>
        <v>Human - General population</v>
      </c>
      <c r="I62" s="4" t="str">
        <f t="shared" si="9"/>
        <v>Direct contact</v>
      </c>
      <c r="J62" s="5" t="str">
        <f t="shared" si="10"/>
        <v>Epidemiological Parameter - Estimates of outbreak size or duration &amp; Clinical Data - Mortality: The transmission model estimated the outbreak likely began between late January and mid-February 2026.  With only 20% of cases isolated, simulations frequently predicted &gt;20,000 cases and &gt;4,000 deaths. Increasing isolation to 70% substantially reduced transmission, with most simulations projecting &lt;10,000 cases and &lt;2,000 deaths. However, if the outbreak was already larger by May 24 (100–200 deaths), even 70% isolation still resulted in a substantial risk of very large outbreaks.
Epidemiological Parameter - Reproduction Number (R0/Rt): SUPPLEMENTARY FIGURE 1 shows estimates of the effective reproductive number before and after  simulated implementation of isolation of persons with Bundibugyo virus disease, 2026. Re declined proportional to the percentage of infected persons successfully isolated.</v>
      </c>
      <c r="K62" s="5" t="str">
        <f t="shared" si="11"/>
        <v>CDC used a branching process model to simulate BVD outbreaks where each simulated outbreak was initialized with one infected person, who represented the person first infected from a zoonotic source (a spillover event). This person infected a randomly generated number of additional persons based on assumptions about the basic reproductive number ([R0]. Any infected persons were added to the simulation at times selected according to the distribution of intervals from one infection to the next, causing further infection and this simulation process continued until either 1) none of the infected persons in a generation caused any secondary infections, indicating termination of the outbreak or 2) the simulation reached 5,000 deaths, indicating a very large and exponentially growing outbreak.</v>
      </c>
      <c r="N62" s="2" t="str">
        <f t="shared" si="12"/>
        <v>https://doi.org/http://dx.doi.org/10.15585/mmwr.mm7522e1</v>
      </c>
      <c r="O62" s="20">
        <v>223</v>
      </c>
      <c r="P62" s="20" t="s">
        <v>606</v>
      </c>
      <c r="Q62" s="20" t="s">
        <v>607</v>
      </c>
      <c r="R62" s="20" t="s">
        <v>608</v>
      </c>
      <c r="S62" s="20" t="s">
        <v>609</v>
      </c>
      <c r="T62" s="20" t="s">
        <v>266</v>
      </c>
      <c r="U62" s="2"/>
      <c r="V62" s="20" t="s">
        <v>267</v>
      </c>
      <c r="W62" s="2"/>
      <c r="X62" s="20" t="s">
        <v>610</v>
      </c>
      <c r="Y62" s="2"/>
      <c r="Z62" s="20" t="s">
        <v>21</v>
      </c>
      <c r="AA62" s="2"/>
      <c r="AB62" s="2"/>
      <c r="AC62" s="2"/>
      <c r="AD62" s="20" t="s">
        <v>352</v>
      </c>
      <c r="AE62" s="2"/>
      <c r="AF62" s="20" t="s">
        <v>270</v>
      </c>
      <c r="AG62" s="2"/>
      <c r="AH62" s="2"/>
      <c r="AI62" s="20" t="s">
        <v>271</v>
      </c>
      <c r="AJ62" s="2"/>
      <c r="AK62" s="20" t="s">
        <v>272</v>
      </c>
      <c r="AL62" s="2"/>
      <c r="AM62" s="2"/>
      <c r="AN62" s="2"/>
      <c r="AO62" s="2"/>
      <c r="AP62" s="20" t="s">
        <v>611</v>
      </c>
      <c r="AQ62" s="2"/>
      <c r="AR62" s="20" t="s">
        <v>37</v>
      </c>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0" t="s">
        <v>83</v>
      </c>
      <c r="CM62" s="2"/>
      <c r="CN62" s="2"/>
      <c r="CO62" s="2"/>
      <c r="CP62" s="2"/>
      <c r="CQ62" s="2"/>
      <c r="CR62" s="2"/>
      <c r="CS62" s="2"/>
      <c r="CT62" s="2"/>
      <c r="CU62" s="2"/>
      <c r="CV62" s="2"/>
      <c r="CW62" s="2"/>
      <c r="CX62" s="2"/>
      <c r="CY62" s="2"/>
      <c r="CZ62" s="2"/>
      <c r="DA62" s="2"/>
      <c r="DB62" s="2"/>
      <c r="DC62" s="2"/>
      <c r="DD62" s="2"/>
      <c r="DE62" s="2"/>
      <c r="DF62" s="2"/>
      <c r="DG62" s="2"/>
      <c r="DH62" s="20" t="s">
        <v>103</v>
      </c>
      <c r="DI62" s="2"/>
      <c r="DJ62" s="2"/>
      <c r="DK62" s="2"/>
      <c r="DL62" s="2"/>
      <c r="DM62" s="2"/>
      <c r="DN62" s="2"/>
      <c r="DO62" s="2"/>
      <c r="DP62" s="2"/>
      <c r="DQ62" s="2"/>
      <c r="DR62" s="2"/>
      <c r="DS62" s="2"/>
      <c r="DT62" s="2"/>
      <c r="DU62" s="2"/>
      <c r="DV62" s="2"/>
      <c r="DW62" s="2"/>
      <c r="DX62" s="2"/>
      <c r="DY62" s="2"/>
      <c r="DZ62" s="2"/>
      <c r="EA62" s="2"/>
      <c r="EB62" s="2"/>
      <c r="EC62" s="2"/>
      <c r="ED62" s="2"/>
      <c r="EE62" s="2"/>
      <c r="EF62" s="20" t="s">
        <v>125</v>
      </c>
      <c r="EG62" s="2"/>
      <c r="EH62" s="2"/>
      <c r="EI62" s="2"/>
      <c r="EJ62" s="2"/>
      <c r="EK62" s="2"/>
      <c r="EL62" s="2"/>
      <c r="EM62" s="2"/>
      <c r="EN62" s="2"/>
      <c r="EO62" s="2"/>
      <c r="EP62" s="20" t="s">
        <v>135</v>
      </c>
      <c r="EQ62" s="2"/>
      <c r="ER62" s="2"/>
      <c r="ES62" s="2"/>
      <c r="ET62" s="2"/>
      <c r="EU62" s="2"/>
      <c r="EV62" s="2"/>
      <c r="EW62" s="2"/>
      <c r="EX62" s="2"/>
      <c r="EY62" s="2"/>
      <c r="EZ62" s="2"/>
      <c r="FA62" s="2"/>
      <c r="FB62" s="2"/>
      <c r="FC62" s="2"/>
      <c r="FD62" s="2"/>
      <c r="FE62" s="2"/>
      <c r="FF62" s="20" t="s">
        <v>149</v>
      </c>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0" t="s">
        <v>73</v>
      </c>
      <c r="GG62" s="2"/>
      <c r="GH62" s="2"/>
      <c r="GI62" s="2"/>
      <c r="GJ62" s="2"/>
      <c r="GK62" s="2"/>
      <c r="GL62" s="2"/>
      <c r="GM62" s="2"/>
      <c r="GN62" s="2"/>
      <c r="GO62" s="2"/>
      <c r="GP62" s="20" t="s">
        <v>73</v>
      </c>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0" t="s">
        <v>73</v>
      </c>
      <c r="HS62" s="2"/>
      <c r="HT62" s="2"/>
      <c r="HU62" s="2"/>
      <c r="HV62" s="2"/>
      <c r="HW62" s="2"/>
      <c r="HX62" s="2"/>
      <c r="HY62" s="2"/>
      <c r="HZ62" s="2"/>
      <c r="IA62" s="2"/>
      <c r="IB62" s="20" t="s">
        <v>73</v>
      </c>
      <c r="IC62" s="2"/>
      <c r="ID62" s="2"/>
      <c r="IE62" s="2"/>
      <c r="IF62" s="2"/>
      <c r="IG62" s="2"/>
      <c r="IH62" s="2"/>
      <c r="II62" s="2"/>
      <c r="IJ62" s="20" t="s">
        <v>73</v>
      </c>
      <c r="IK62" s="2"/>
      <c r="IL62" s="2"/>
      <c r="IM62" s="2"/>
      <c r="IN62" s="2"/>
      <c r="IO62" s="2"/>
      <c r="IP62" s="2"/>
      <c r="IQ62" s="2"/>
      <c r="IR62" s="2"/>
      <c r="IS62" s="2"/>
      <c r="IT62" s="20" t="s">
        <v>73</v>
      </c>
      <c r="IU62" s="2"/>
      <c r="IV62" s="2"/>
      <c r="IW62" s="2"/>
      <c r="IX62" s="20" t="s">
        <v>73</v>
      </c>
      <c r="IY62" s="2"/>
      <c r="IZ62" s="2"/>
      <c r="JA62" s="2"/>
      <c r="JB62" s="20" t="s">
        <v>73</v>
      </c>
      <c r="JC62" s="2"/>
      <c r="JD62" s="2"/>
      <c r="JE62" s="2"/>
      <c r="JF62" s="20" t="s">
        <v>73</v>
      </c>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0" t="s">
        <v>73</v>
      </c>
      <c r="KG62" s="2"/>
      <c r="KH62" s="20" t="s">
        <v>612</v>
      </c>
      <c r="KI62" s="2"/>
      <c r="KJ62" s="20" t="s">
        <v>613</v>
      </c>
      <c r="KK62" s="2"/>
    </row>
    <row r="63" spans="1:299" ht="60" customHeight="1" x14ac:dyDescent="0.25">
      <c r="A63" s="5" t="str">
        <f t="shared" si="1"/>
        <v>Zomahoun DelayoL, et al, (2026), MMWR Morb Mortal Wkly Rep.</v>
      </c>
      <c r="B63" s="3" t="str">
        <f t="shared" si="2"/>
        <v>Notes from the Field: Outbreak of Ebola Disease Caused by Bundibugyo Virus — Democratic Republic of the Congo and Uganda, May 2026</v>
      </c>
      <c r="C63" s="4" t="str">
        <f t="shared" si="3"/>
        <v>Primary - short communication, Descriptive, Peer-reviewed publication</v>
      </c>
      <c r="D63" s="4" t="str">
        <f t="shared" si="4"/>
        <v>Bundibugyo</v>
      </c>
      <c r="E63" s="4" t="str">
        <f t="shared" si="5"/>
        <v>Yes</v>
      </c>
      <c r="F63" s="4" t="str">
        <f t="shared" si="6"/>
        <v>As of June 2, a total of 378 confirmed cases and 63 confirmed deaths have been reported as part of the 2026 BVBD outbreak. No cases have been reported in the United States.</v>
      </c>
      <c r="G63" s="4" t="str">
        <f t="shared" si="7"/>
        <v>Incidence / prevalence; Mortality</v>
      </c>
      <c r="H63" s="4" t="str">
        <f t="shared" si="8"/>
        <v>Human - General population</v>
      </c>
      <c r="I63" s="4" t="str">
        <f t="shared" si="9"/>
        <v>Zoonotic, Direct contact</v>
      </c>
      <c r="J63" s="5" t="str">
        <f t="shared" si="10"/>
        <v>Epidemiological Parameter - Incidence/prevalence of disease &amp; Clinical Data - Mortality:  As of June 2, a total of 378 confirmed cases and 63 confirmed deaths have been reported.</v>
      </c>
      <c r="K63" s="5" t="str">
        <f t="shared" si="11"/>
        <v>The authors report  outbreak surveillance and investigation data collected during the 2026 Bundibugyo Ebola outbreak in the Democratic Republic of the Congo and Uganda.</v>
      </c>
      <c r="N63" s="2" t="str">
        <f t="shared" si="12"/>
        <v>https://doi.org/http://dx.doi.org/10.15585/mmwr.mm7522e3</v>
      </c>
      <c r="O63" s="20">
        <v>224</v>
      </c>
      <c r="P63" s="20" t="s">
        <v>614</v>
      </c>
      <c r="Q63" s="20" t="s">
        <v>615</v>
      </c>
      <c r="R63" s="20" t="s">
        <v>616</v>
      </c>
      <c r="S63" s="20" t="s">
        <v>617</v>
      </c>
      <c r="T63" s="20" t="s">
        <v>266</v>
      </c>
      <c r="U63" s="2"/>
      <c r="V63" s="20" t="s">
        <v>267</v>
      </c>
      <c r="W63" s="2"/>
      <c r="X63" s="20" t="s">
        <v>618</v>
      </c>
      <c r="Y63" s="2"/>
      <c r="Z63" s="20" t="s">
        <v>21</v>
      </c>
      <c r="AA63" s="2"/>
      <c r="AB63" s="2"/>
      <c r="AC63" s="2"/>
      <c r="AD63" s="20" t="s">
        <v>352</v>
      </c>
      <c r="AE63" s="2"/>
      <c r="AF63" s="20" t="s">
        <v>270</v>
      </c>
      <c r="AG63" s="2"/>
      <c r="AH63" s="2"/>
      <c r="AI63" s="20" t="s">
        <v>271</v>
      </c>
      <c r="AJ63" s="2"/>
      <c r="AK63" s="20" t="s">
        <v>490</v>
      </c>
      <c r="AL63" s="2"/>
      <c r="AM63" s="2"/>
      <c r="AN63" s="2"/>
      <c r="AO63" s="2"/>
      <c r="AP63" s="20" t="s">
        <v>619</v>
      </c>
      <c r="AQ63" s="2"/>
      <c r="AR63" s="20" t="s">
        <v>37</v>
      </c>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0" t="s">
        <v>77</v>
      </c>
      <c r="CG63" s="2"/>
      <c r="CH63" s="2"/>
      <c r="CI63" s="2"/>
      <c r="CJ63" s="2"/>
      <c r="CK63" s="2"/>
      <c r="CL63" s="2"/>
      <c r="CM63" s="2"/>
      <c r="CN63" s="2"/>
      <c r="CO63" s="2"/>
      <c r="CP63" s="2"/>
      <c r="CQ63" s="2"/>
      <c r="CR63" s="2"/>
      <c r="CS63" s="2"/>
      <c r="CT63" s="2"/>
      <c r="CU63" s="2"/>
      <c r="CV63" s="2"/>
      <c r="CW63" s="2"/>
      <c r="CX63" s="2"/>
      <c r="CY63" s="2"/>
      <c r="CZ63" s="2"/>
      <c r="DA63" s="2"/>
      <c r="DB63" s="2"/>
      <c r="DC63" s="2"/>
      <c r="DD63" s="20" t="s">
        <v>99</v>
      </c>
      <c r="DE63" s="2"/>
      <c r="DF63" s="2"/>
      <c r="DG63" s="2"/>
      <c r="DH63" s="20" t="s">
        <v>103</v>
      </c>
      <c r="DI63" s="2"/>
      <c r="DJ63" s="2"/>
      <c r="DK63" s="2"/>
      <c r="DL63" s="2"/>
      <c r="DM63" s="2"/>
      <c r="DN63" s="2"/>
      <c r="DO63" s="2"/>
      <c r="DP63" s="2"/>
      <c r="DQ63" s="2"/>
      <c r="DR63" s="2"/>
      <c r="DS63" s="2"/>
      <c r="DT63" s="2"/>
      <c r="DU63" s="2"/>
      <c r="DV63" s="2"/>
      <c r="DW63" s="2"/>
      <c r="DX63" s="20" t="s">
        <v>117</v>
      </c>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0" t="s">
        <v>149</v>
      </c>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0" t="s">
        <v>73</v>
      </c>
      <c r="GG63" s="2"/>
      <c r="GH63" s="2"/>
      <c r="GI63" s="2"/>
      <c r="GJ63" s="2"/>
      <c r="GK63" s="2"/>
      <c r="GL63" s="2"/>
      <c r="GM63" s="2"/>
      <c r="GN63" s="2"/>
      <c r="GO63" s="2"/>
      <c r="GP63" s="20" t="s">
        <v>73</v>
      </c>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0" t="s">
        <v>73</v>
      </c>
      <c r="HS63" s="2"/>
      <c r="HT63" s="2"/>
      <c r="HU63" s="2"/>
      <c r="HV63" s="2"/>
      <c r="HW63" s="2"/>
      <c r="HX63" s="2"/>
      <c r="HY63" s="2"/>
      <c r="HZ63" s="2"/>
      <c r="IA63" s="2"/>
      <c r="IB63" s="20" t="s">
        <v>73</v>
      </c>
      <c r="IC63" s="2"/>
      <c r="ID63" s="2"/>
      <c r="IE63" s="2"/>
      <c r="IF63" s="2"/>
      <c r="IG63" s="2"/>
      <c r="IH63" s="2"/>
      <c r="II63" s="2"/>
      <c r="IJ63" s="20" t="s">
        <v>73</v>
      </c>
      <c r="IK63" s="2"/>
      <c r="IL63" s="2"/>
      <c r="IM63" s="2"/>
      <c r="IN63" s="2"/>
      <c r="IO63" s="2"/>
      <c r="IP63" s="2"/>
      <c r="IQ63" s="2"/>
      <c r="IR63" s="2"/>
      <c r="IS63" s="2"/>
      <c r="IT63" s="20" t="s">
        <v>73</v>
      </c>
      <c r="IU63" s="2"/>
      <c r="IV63" s="2"/>
      <c r="IW63" s="2"/>
      <c r="IX63" s="20" t="s">
        <v>73</v>
      </c>
      <c r="IY63" s="2"/>
      <c r="IZ63" s="2"/>
      <c r="JA63" s="2"/>
      <c r="JB63" s="20" t="s">
        <v>73</v>
      </c>
      <c r="JC63" s="2"/>
      <c r="JD63" s="2"/>
      <c r="JE63" s="2"/>
      <c r="JF63" s="20" t="s">
        <v>73</v>
      </c>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0" t="s">
        <v>73</v>
      </c>
      <c r="KG63" s="2"/>
      <c r="KH63" s="20" t="s">
        <v>620</v>
      </c>
      <c r="KI63" s="2"/>
      <c r="KJ63" s="20" t="s">
        <v>621</v>
      </c>
      <c r="KK63" s="2"/>
    </row>
    <row r="64" spans="1:299" ht="60" customHeight="1" x14ac:dyDescent="0.25">
      <c r="A64" s="5" t="str">
        <f t="shared" si="1"/>
        <v>Richard DanielleM, et al, (2026), MMWR Morb Mortal Wkly Rep.</v>
      </c>
      <c r="B64" s="3" t="str">
        <f t="shared" si="2"/>
        <v>Assessment of Risk to the U.S. Population from the Ebola Disease Outbreak Caused by Bundibugyo Virus, 2026</v>
      </c>
      <c r="C64" s="4" t="str">
        <f t="shared" si="3"/>
        <v>Risk Assessment, Peer-reviewed publication</v>
      </c>
      <c r="D64" s="4" t="str">
        <f t="shared" si="4"/>
        <v>Bundibugyo</v>
      </c>
      <c r="E64" s="4" t="str">
        <f t="shared" si="5"/>
        <v>Yes</v>
      </c>
      <c r="F64" s="4" t="str">
        <f t="shared" si="6"/>
        <v>The assessment found that the overall risk to the U.S. population posed by the current BVD outbreak during the next 3 months is low, based on the extremely low likelihood of transmission, despite the high impact that potential infection could have and the resources that would be required to respond to the outbreak.  CDC continues to monitor factors that could change this risk assessment.</v>
      </c>
      <c r="G64" s="4" t="str">
        <f t="shared" si="7"/>
        <v/>
      </c>
      <c r="H64" s="4" t="str">
        <f t="shared" si="8"/>
        <v/>
      </c>
      <c r="I64" s="4" t="str">
        <f t="shared" si="9"/>
        <v/>
      </c>
      <c r="J64" s="5" t="str">
        <f t="shared" si="10"/>
        <v/>
      </c>
      <c r="K64" s="5" t="str">
        <f t="shared" si="11"/>
        <v/>
      </c>
      <c r="N64" s="2" t="str">
        <f t="shared" si="12"/>
        <v>https://doi.org/http://dx.doi.org/10.15585/mmwr.mm7522e2</v>
      </c>
      <c r="O64" s="20">
        <v>226</v>
      </c>
      <c r="P64" s="20" t="s">
        <v>622</v>
      </c>
      <c r="Q64" s="20" t="s">
        <v>623</v>
      </c>
      <c r="R64" s="20" t="s">
        <v>624</v>
      </c>
      <c r="S64" s="20" t="s">
        <v>625</v>
      </c>
      <c r="T64" s="20" t="s">
        <v>266</v>
      </c>
      <c r="U64" s="2"/>
      <c r="V64" s="20">
        <v>2</v>
      </c>
      <c r="W64" s="2"/>
      <c r="X64" s="20" t="s">
        <v>626</v>
      </c>
      <c r="Y64" s="2"/>
      <c r="Z64" s="20" t="s">
        <v>21</v>
      </c>
      <c r="AA64" s="2"/>
      <c r="AB64" s="2"/>
      <c r="AC64" s="2"/>
      <c r="AD64" s="20" t="s">
        <v>352</v>
      </c>
      <c r="AE64" s="2"/>
      <c r="AF64" s="20" t="s">
        <v>270</v>
      </c>
      <c r="AG64" s="2"/>
      <c r="AH64" s="2"/>
      <c r="AI64" s="20" t="s">
        <v>271</v>
      </c>
      <c r="AJ64" s="2"/>
      <c r="AK64" s="20" t="s">
        <v>85</v>
      </c>
      <c r="AL64" s="2"/>
      <c r="AM64" s="20" t="s">
        <v>627</v>
      </c>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row>
    <row r="65" spans="1:297" ht="60" customHeight="1" x14ac:dyDescent="0.25">
      <c r="A65" s="5" t="str">
        <f t="shared" si="1"/>
        <v xml:space="preserve">ECDC, (2026) </v>
      </c>
      <c r="B65" s="3" t="str">
        <f t="shared" si="2"/>
        <v>Communicable disease threats report, 30 May - 5 June 2026, Week 23</v>
      </c>
      <c r="C65" s="4" t="str">
        <f t="shared" si="3"/>
        <v>Other non-primary, Government report</v>
      </c>
      <c r="D65" s="4" t="str">
        <f t="shared" si="4"/>
        <v>Bundibugyo</v>
      </c>
      <c r="E65" s="4" t="str">
        <f t="shared" si="5"/>
        <v>Yes</v>
      </c>
      <c r="F65" s="4" t="str">
        <f t="shared" si="6"/>
        <v/>
      </c>
      <c r="G65" s="4" t="str">
        <f t="shared" si="7"/>
        <v/>
      </c>
      <c r="H65" s="4" t="str">
        <f t="shared" si="8"/>
        <v/>
      </c>
      <c r="I65" s="4" t="str">
        <f t="shared" si="9"/>
        <v/>
      </c>
      <c r="J65" s="5" t="str">
        <f t="shared" si="10"/>
        <v/>
      </c>
      <c r="K65" s="5" t="str">
        <f t="shared" si="11"/>
        <v/>
      </c>
      <c r="N65" s="2" t="str">
        <f t="shared" si="12"/>
        <v>https://www.ecdc.europa.eu/sites/default/files/documents/Communicable-disease-threats-report-week-23-2026.pdf</v>
      </c>
      <c r="O65" s="20">
        <v>227</v>
      </c>
      <c r="P65" s="20" t="s">
        <v>1364</v>
      </c>
      <c r="Q65" s="20" t="s">
        <v>628</v>
      </c>
      <c r="R65" s="2"/>
      <c r="S65" s="20" t="s">
        <v>629</v>
      </c>
      <c r="T65" s="20" t="s">
        <v>266</v>
      </c>
      <c r="U65" s="2"/>
      <c r="V65" s="20">
        <v>2</v>
      </c>
      <c r="W65" s="2"/>
      <c r="X65" s="20" t="s">
        <v>629</v>
      </c>
      <c r="Y65" s="2"/>
      <c r="Z65" s="20" t="s">
        <v>21</v>
      </c>
      <c r="AA65" s="2"/>
      <c r="AB65" s="2"/>
      <c r="AC65" s="2"/>
      <c r="AD65" s="20" t="s">
        <v>352</v>
      </c>
      <c r="AE65" s="2"/>
      <c r="AF65" s="20" t="s">
        <v>270</v>
      </c>
      <c r="AG65" s="2"/>
      <c r="AH65" s="2"/>
      <c r="AI65" s="20" t="s">
        <v>437</v>
      </c>
      <c r="AJ65" s="2"/>
      <c r="AK65" s="20" t="s">
        <v>449</v>
      </c>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row>
    <row r="66" spans="1:297" ht="60" customHeight="1" x14ac:dyDescent="0.25">
      <c r="A66" s="5" t="str">
        <f t="shared" si="1"/>
        <v>Abdallah, et al, (2026), Infection</v>
      </c>
      <c r="B66" s="3" t="str">
        <f t="shared" si="2"/>
        <v>When Ebola meets conflict: surveillance vulnerability in the Bundibugyo outbreak</v>
      </c>
      <c r="C66" s="4" t="str">
        <f t="shared" si="3"/>
        <v>Commentary, Peer-reviewed publication</v>
      </c>
      <c r="D66" s="4" t="str">
        <f t="shared" si="4"/>
        <v>Bundibugyo</v>
      </c>
      <c r="E66" s="4" t="str">
        <f t="shared" si="5"/>
        <v>Yes</v>
      </c>
      <c r="F66" s="4" t="str">
        <f t="shared" si="6"/>
        <v/>
      </c>
      <c r="G66" s="4" t="str">
        <f t="shared" si="7"/>
        <v/>
      </c>
      <c r="H66" s="4" t="str">
        <f t="shared" si="8"/>
        <v/>
      </c>
      <c r="I66" s="4" t="str">
        <f t="shared" si="9"/>
        <v/>
      </c>
      <c r="J66" s="5" t="str">
        <f t="shared" si="10"/>
        <v/>
      </c>
      <c r="K66" s="5" t="str">
        <f t="shared" si="11"/>
        <v/>
      </c>
      <c r="N66" s="2" t="str">
        <f t="shared" si="12"/>
        <v>https://doi.org/10.1007/s15010-026-02864-1</v>
      </c>
      <c r="O66" s="20">
        <v>230</v>
      </c>
      <c r="P66" s="20" t="s">
        <v>630</v>
      </c>
      <c r="Q66" s="20" t="s">
        <v>631</v>
      </c>
      <c r="R66" s="20" t="s">
        <v>632</v>
      </c>
      <c r="S66" s="20" t="s">
        <v>633</v>
      </c>
      <c r="T66" s="20" t="s">
        <v>266</v>
      </c>
      <c r="U66" s="2"/>
      <c r="V66" s="20">
        <v>2</v>
      </c>
      <c r="W66" s="2"/>
      <c r="X66" s="20" t="s">
        <v>634</v>
      </c>
      <c r="Y66" s="2"/>
      <c r="Z66" s="20" t="s">
        <v>21</v>
      </c>
      <c r="AA66" s="2"/>
      <c r="AB66" s="2"/>
      <c r="AC66" s="2"/>
      <c r="AD66" s="20" t="s">
        <v>352</v>
      </c>
      <c r="AE66" s="2"/>
      <c r="AF66" s="20" t="s">
        <v>270</v>
      </c>
      <c r="AG66" s="2"/>
      <c r="AH66" s="2"/>
      <c r="AI66" s="20" t="s">
        <v>271</v>
      </c>
      <c r="AJ66" s="2"/>
      <c r="AK66" s="20" t="s">
        <v>425</v>
      </c>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row>
    <row r="67" spans="1:297" ht="60" customHeight="1" x14ac:dyDescent="0.25">
      <c r="A67" s="5" t="str">
        <f t="shared" ref="A67:A130" si="13">P67</f>
        <v>Middleton, et al, (2026), medRxiv</v>
      </c>
      <c r="B67" s="3" t="str">
        <f t="shared" ref="B67:B130" si="14">HYPERLINK(N67, Q67)</f>
        <v>Limitations of cross-border containment strategies for Bundibugyo ebolavirus</v>
      </c>
      <c r="C67" s="4" t="str">
        <f t="shared" ref="C67:C130" si="15">_xlfn.TEXTJOIN(", ", TRUE, AK67,CD67:CX67,AI67, AG67)</f>
        <v>Primary - article, Modeling, Preprint</v>
      </c>
      <c r="D67" s="4" t="str">
        <f t="shared" ref="D67:D130" si="16">_xlfn.TEXTJOIN(", ", TRUE, Z67, AB67)</f>
        <v>Bundibugyo</v>
      </c>
      <c r="E67" s="4" t="str">
        <f t="shared" ref="E67:E130" si="17">AD67</f>
        <v>Yes</v>
      </c>
      <c r="F67" s="4" t="str">
        <f t="shared" ref="F67:F130" si="18">_xlfn.TEXTJOIN("", TRUE, AM67,AP67)</f>
        <v>The authors found that traveler screening via symptom
screening or molecular testing will miss the majority of Bundibugyo virus disease (BVD) infected travelers, and should be complemented by post-arrival quarantine and monitoring of sufficient duration to detect those with long incubation periods. These findings underscore the limitations of border screening and the importance of complementary measures like post-arrival quarantine to prevent local importation of BVD.</v>
      </c>
      <c r="G67" s="4" t="str">
        <f t="shared" ref="G67:G130" si="19">_xlfn.TEXTJOIN("; ", TRUE, DX67:EU67,EX67:FQ67, FT67:GE67, GH67:GO67, GR67:HP67, HT67:HZ67, ID67:IH67, IL67:IR67, IV67, IZ67, JD67, JH67:KD67)</f>
        <v>Quarantine - PHM; Border measure - PHM</v>
      </c>
      <c r="H67" s="4" t="str">
        <f t="shared" ref="H67:H130" si="20">_xlfn.TEXTJOIN(", ", TRUE,AR67:BZ67)</f>
        <v>Human - General population</v>
      </c>
      <c r="I67" s="4" t="str">
        <f t="shared" ref="I67:I130" si="21">_xlfn.TEXTJOIN(", ", TRUE,DB67:DU67)</f>
        <v/>
      </c>
      <c r="J67" s="5" t="str">
        <f t="shared" ref="J67:J130" si="22">_xlfn.TEXTJOIN(", ", TRUE, KH67)</f>
        <v>Public Health Measures - Border measures
A model to predict the proportion of infected travelers missed by symptom screening at arrival and post-arrival quarantine with symptom monitoring was developed. The model estimates that arrival symptom screening will miss 67.6%–86.3% of infected travelers in a steady state outbreak within the source country.  If all arriving travelers are subject to a universal post-arrival quarantine and monitoring, the researchers estimate that a 7day quarantine will miss 26.3% of infections. If both interventions are applied, the combination of arrival screening with post-arrival universal quarantine is predicted to miss 17.8%–22.7% of infected travelers.
Public Health Measures - Quarantine/isolation
Researchers conclude that travel screening is beneficial however, quarantining is more effective in detecting  infected travellers. Increasing quarantine duration decreases the proportion of infections missed, but even a 21-day quarantine is predicted to be imperfect if the incubation period distribution is heavy-tailed. Empirical data to better characterize the shape of this distribution would greatly improve predictions and therefore, quarantine decisions must weigh the increasing cost of longer quarantine periods against the diminishing benefit of reduced risk of evasion.</v>
      </c>
      <c r="K67" s="5" t="str">
        <f t="shared" ref="K67:K130" si="23">_xlfn.TEXTJOIN(", ", TRUE, KJ67)</f>
        <v>Researchers  developed a simple model to predict the proportion of infected travelers missed by symptom screening at arrival and post-arrival quarantine with symptom monitoring. This model analyzes the effectiveness of symptom-based screening and quarantine measures in detecting infected travelers, considering variables like incubation period, symptom onset, and epidemiological dynamics. It derives failure rates for screening and quarantine programs under different scenarios, including steady-state and exponentially growing outbreaks, and provides estimates for the Bundibugyo virus incubation period</v>
      </c>
      <c r="N67" s="2" t="str">
        <f t="shared" ref="N67:N130" si="24">IF(ISBLANK(R67),X67,_xlfn.CONCAT($N$1,R67))</f>
        <v>https://doi.org/10.64898/2026.06.04.26354820</v>
      </c>
      <c r="O67" s="20">
        <v>231</v>
      </c>
      <c r="P67" s="20" t="s">
        <v>635</v>
      </c>
      <c r="Q67" s="20" t="s">
        <v>636</v>
      </c>
      <c r="R67" s="20" t="s">
        <v>637</v>
      </c>
      <c r="S67" s="20" t="s">
        <v>638</v>
      </c>
      <c r="T67" s="20" t="s">
        <v>266</v>
      </c>
      <c r="U67" s="2"/>
      <c r="V67" s="20" t="s">
        <v>267</v>
      </c>
      <c r="W67" s="2"/>
      <c r="X67" s="20" t="s">
        <v>639</v>
      </c>
      <c r="Y67" s="2"/>
      <c r="Z67" s="20" t="s">
        <v>21</v>
      </c>
      <c r="AA67" s="2"/>
      <c r="AB67" s="2"/>
      <c r="AC67" s="2"/>
      <c r="AD67" s="20" t="s">
        <v>352</v>
      </c>
      <c r="AE67" s="2"/>
      <c r="AF67" s="20" t="s">
        <v>270</v>
      </c>
      <c r="AG67" s="2"/>
      <c r="AH67" s="2"/>
      <c r="AI67" s="20" t="s">
        <v>353</v>
      </c>
      <c r="AJ67" s="2"/>
      <c r="AK67" s="20" t="s">
        <v>272</v>
      </c>
      <c r="AL67" s="2"/>
      <c r="AM67" s="2"/>
      <c r="AN67" s="2"/>
      <c r="AO67" s="2"/>
      <c r="AP67" s="20" t="s">
        <v>640</v>
      </c>
      <c r="AQ67" s="2"/>
      <c r="AR67" s="20" t="s">
        <v>37</v>
      </c>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0" t="s">
        <v>83</v>
      </c>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0" t="s">
        <v>73</v>
      </c>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0" t="s">
        <v>73</v>
      </c>
      <c r="EW67" s="2"/>
      <c r="EX67" s="2"/>
      <c r="EY67" s="2"/>
      <c r="EZ67" s="2"/>
      <c r="FA67" s="2"/>
      <c r="FB67" s="2"/>
      <c r="FC67" s="2"/>
      <c r="FD67" s="2"/>
      <c r="FE67" s="2"/>
      <c r="FF67" s="2"/>
      <c r="FG67" s="2"/>
      <c r="FH67" s="2"/>
      <c r="FI67" s="2"/>
      <c r="FJ67" s="2"/>
      <c r="FK67" s="2"/>
      <c r="FL67" s="2"/>
      <c r="FM67" s="2"/>
      <c r="FN67" s="2"/>
      <c r="FO67" s="2"/>
      <c r="FP67" s="2"/>
      <c r="FQ67" s="2"/>
      <c r="FR67" s="20" t="s">
        <v>73</v>
      </c>
      <c r="FS67" s="2"/>
      <c r="FT67" s="2"/>
      <c r="FU67" s="2"/>
      <c r="FV67" s="2"/>
      <c r="FW67" s="2"/>
      <c r="FX67" s="2"/>
      <c r="FY67" s="2"/>
      <c r="FZ67" s="2"/>
      <c r="GA67" s="2"/>
      <c r="GB67" s="2"/>
      <c r="GC67" s="2"/>
      <c r="GD67" s="2"/>
      <c r="GE67" s="2"/>
      <c r="GF67" s="20" t="s">
        <v>73</v>
      </c>
      <c r="GG67" s="2"/>
      <c r="GH67" s="2"/>
      <c r="GI67" s="2"/>
      <c r="GJ67" s="2"/>
      <c r="GK67" s="2"/>
      <c r="GL67" s="2"/>
      <c r="GM67" s="2"/>
      <c r="GN67" s="2"/>
      <c r="GO67" s="2"/>
      <c r="GP67" s="20" t="s">
        <v>73</v>
      </c>
      <c r="GQ67" s="2"/>
      <c r="GR67" s="2"/>
      <c r="GS67" s="2"/>
      <c r="GT67" s="2"/>
      <c r="GU67" s="2"/>
      <c r="GV67" s="20" t="s">
        <v>185</v>
      </c>
      <c r="GW67" s="2"/>
      <c r="GX67" s="2"/>
      <c r="GY67" s="2"/>
      <c r="GZ67" s="20" t="s">
        <v>189</v>
      </c>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0" t="s">
        <v>73</v>
      </c>
      <c r="IC67" s="2"/>
      <c r="ID67" s="2"/>
      <c r="IE67" s="2"/>
      <c r="IF67" s="2"/>
      <c r="IG67" s="2"/>
      <c r="IH67" s="2"/>
      <c r="II67" s="2"/>
      <c r="IJ67" s="20" t="s">
        <v>73</v>
      </c>
      <c r="IK67" s="2"/>
      <c r="IL67" s="2"/>
      <c r="IM67" s="2"/>
      <c r="IN67" s="2"/>
      <c r="IO67" s="2"/>
      <c r="IP67" s="2"/>
      <c r="IQ67" s="2"/>
      <c r="IR67" s="2"/>
      <c r="IS67" s="2"/>
      <c r="IT67" s="20" t="s">
        <v>73</v>
      </c>
      <c r="IU67" s="2"/>
      <c r="IV67" s="2"/>
      <c r="IW67" s="2"/>
      <c r="IX67" s="20" t="s">
        <v>73</v>
      </c>
      <c r="IY67" s="2"/>
      <c r="IZ67" s="2"/>
      <c r="JA67" s="2"/>
      <c r="JB67" s="20" t="s">
        <v>73</v>
      </c>
      <c r="JC67" s="2"/>
      <c r="JD67" s="2"/>
      <c r="JE67" s="2"/>
      <c r="JF67" s="20" t="s">
        <v>73</v>
      </c>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0" t="s">
        <v>73</v>
      </c>
      <c r="KG67" s="2"/>
      <c r="KH67" s="20" t="s">
        <v>641</v>
      </c>
      <c r="KI67" s="2"/>
      <c r="KJ67" s="20" t="s">
        <v>642</v>
      </c>
      <c r="KK67" s="2"/>
    </row>
    <row r="68" spans="1:297" ht="60" customHeight="1" x14ac:dyDescent="0.25">
      <c r="A68" s="5" t="str">
        <f t="shared" si="13"/>
        <v>Kopp, et al, (2026), Preprints.org</v>
      </c>
      <c r="B68" s="3" t="str">
        <f t="shared" si="14"/>
        <v>Whole-Genome Sequencing for High-Consequence Emerging RNA Viruses: Strategy Selection for Bundibugyo Virus Disease Under 2026 Outbreak Constraints</v>
      </c>
      <c r="C68" s="4" t="str">
        <f t="shared" si="15"/>
        <v>Lit review, Preprint</v>
      </c>
      <c r="D68" s="4" t="str">
        <f t="shared" si="16"/>
        <v>Bundibugyo</v>
      </c>
      <c r="E68" s="4" t="str">
        <f t="shared" si="17"/>
        <v>Yes</v>
      </c>
      <c r="F68" s="4" t="str">
        <f t="shared" si="18"/>
        <v/>
      </c>
      <c r="G68" s="4" t="str">
        <f t="shared" si="19"/>
        <v/>
      </c>
      <c r="H68" s="4" t="str">
        <f t="shared" si="20"/>
        <v/>
      </c>
      <c r="I68" s="4" t="str">
        <f t="shared" si="21"/>
        <v/>
      </c>
      <c r="J68" s="5" t="str">
        <f t="shared" si="22"/>
        <v/>
      </c>
      <c r="K68" s="5" t="str">
        <f t="shared" si="23"/>
        <v/>
      </c>
      <c r="N68" s="2" t="str">
        <f t="shared" si="24"/>
        <v>https://doi.org/10.20944/preprints202606.0426.v1</v>
      </c>
      <c r="O68" s="20">
        <v>232</v>
      </c>
      <c r="P68" s="20" t="s">
        <v>643</v>
      </c>
      <c r="Q68" s="20" t="s">
        <v>644</v>
      </c>
      <c r="R68" s="20" t="s">
        <v>645</v>
      </c>
      <c r="S68" s="20" t="s">
        <v>646</v>
      </c>
      <c r="T68" s="20" t="s">
        <v>266</v>
      </c>
      <c r="U68" s="2"/>
      <c r="V68" s="20">
        <v>2</v>
      </c>
      <c r="W68" s="2"/>
      <c r="X68" s="20" t="s">
        <v>647</v>
      </c>
      <c r="Y68" s="2"/>
      <c r="Z68" s="20" t="s">
        <v>21</v>
      </c>
      <c r="AA68" s="2"/>
      <c r="AB68" s="2"/>
      <c r="AC68" s="2"/>
      <c r="AD68" s="20" t="s">
        <v>352</v>
      </c>
      <c r="AE68" s="2"/>
      <c r="AF68" s="20" t="s">
        <v>270</v>
      </c>
      <c r="AG68" s="2"/>
      <c r="AH68" s="2"/>
      <c r="AI68" s="20" t="s">
        <v>353</v>
      </c>
      <c r="AJ68" s="2"/>
      <c r="AK68" s="20" t="s">
        <v>346</v>
      </c>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row>
    <row r="69" spans="1:297" ht="60" customHeight="1" x14ac:dyDescent="0.25">
      <c r="A69" s="5" t="str">
        <f t="shared" si="13"/>
        <v xml:space="preserve">Public Health Ontario, (2026) </v>
      </c>
      <c r="B69" s="3" t="str">
        <f t="shared" si="14"/>
        <v>Infection Prevention and Control Management of Viral Hemorrhagic Fever in Pre-Hospital Care and Ground Transport</v>
      </c>
      <c r="C69" s="4" t="str">
        <f t="shared" si="15"/>
        <v>Guideline, Government report</v>
      </c>
      <c r="D69" s="4" t="str">
        <f t="shared" si="16"/>
        <v>Bundibugyo</v>
      </c>
      <c r="E69" s="4" t="str">
        <f t="shared" si="17"/>
        <v>No</v>
      </c>
      <c r="F69" s="4" t="str">
        <f t="shared" si="18"/>
        <v>This document summarizes key infection prevention and control (IPAC) elements  aimed at  Emergency Medical Services (EMS) staff caring for patients with a suspect or confirmed Viral Hemorrhagic Fever (VHF) such as Ebola, Marburg and Lassa during pre-hospital care and ground transport.  It categorizes patient risk levels (stable suspect, unstable suspect, or confirmed case) and outlines specific PPE requirements, patient placement strategies, and procedures for equipment use, waste management, and vehicle cleaning. The recommendations are based on existing guidelines from Public Health Ontario and the Public Health Agency of Canada, with additional considerations for minimizing exposure risks and ensuring staff safety.</v>
      </c>
      <c r="G69" s="4" t="str">
        <f t="shared" si="19"/>
        <v/>
      </c>
      <c r="H69" s="4" t="str">
        <f t="shared" si="20"/>
        <v/>
      </c>
      <c r="I69" s="4" t="str">
        <f t="shared" si="21"/>
        <v/>
      </c>
      <c r="J69" s="5" t="str">
        <f t="shared" si="22"/>
        <v/>
      </c>
      <c r="K69" s="5" t="str">
        <f t="shared" si="23"/>
        <v/>
      </c>
      <c r="N69" s="2" t="str">
        <f t="shared" si="24"/>
        <v>https://www.publichealthontario.ca/-/media/Documents/V/26/vhf-ems-aag-summary-ipac-recommendations-preventing-transmissions-staff.pdf?rev=6782a42743364ad9955b585f06e84894&amp;sc_lang=en</v>
      </c>
      <c r="O69" s="20">
        <v>234</v>
      </c>
      <c r="P69" s="20" t="s">
        <v>1369</v>
      </c>
      <c r="Q69" s="20" t="s">
        <v>648</v>
      </c>
      <c r="R69" s="2"/>
      <c r="S69" s="20" t="s">
        <v>649</v>
      </c>
      <c r="T69" s="20" t="s">
        <v>266</v>
      </c>
      <c r="U69" s="2"/>
      <c r="V69" s="20">
        <v>2</v>
      </c>
      <c r="W69" s="2"/>
      <c r="X69" s="20" t="s">
        <v>649</v>
      </c>
      <c r="Y69" s="2"/>
      <c r="Z69" s="20" t="s">
        <v>21</v>
      </c>
      <c r="AA69" s="2"/>
      <c r="AB69" s="2"/>
      <c r="AC69" s="2"/>
      <c r="AD69" s="20" t="s">
        <v>269</v>
      </c>
      <c r="AE69" s="2"/>
      <c r="AF69" s="20" t="s">
        <v>270</v>
      </c>
      <c r="AG69" s="2"/>
      <c r="AH69" s="2"/>
      <c r="AI69" s="20" t="s">
        <v>437</v>
      </c>
      <c r="AJ69" s="2"/>
      <c r="AK69" s="20" t="s">
        <v>438</v>
      </c>
      <c r="AL69" s="2"/>
      <c r="AM69" s="20" t="s">
        <v>650</v>
      </c>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row>
    <row r="70" spans="1:297" ht="60" customHeight="1" x14ac:dyDescent="0.25">
      <c r="A70" s="5" t="str">
        <f t="shared" si="13"/>
        <v xml:space="preserve">Public Health Ontario, (2026) </v>
      </c>
      <c r="B70" s="3" t="str">
        <f t="shared" si="14"/>
        <v>IPAC Guidance for VHF Specimen Collection and Handling in Acute Care Settings</v>
      </c>
      <c r="C70" s="4" t="str">
        <f t="shared" si="15"/>
        <v>Guideline, Government report</v>
      </c>
      <c r="D70" s="4" t="str">
        <f t="shared" si="16"/>
        <v>Bundibugyo</v>
      </c>
      <c r="E70" s="4" t="str">
        <f t="shared" si="17"/>
        <v>No</v>
      </c>
      <c r="F70" s="4" t="str">
        <f t="shared" si="18"/>
        <v>This document provides considerations intended to support the safe collection and handling of specimens from patients with suspected or confirmed viral hemorrhagic fever (VHF) within a healthcare setting while minimizing the risk of transmission to healthcare workers and others.</v>
      </c>
      <c r="G70" s="4" t="str">
        <f t="shared" si="19"/>
        <v/>
      </c>
      <c r="H70" s="4" t="str">
        <f t="shared" si="20"/>
        <v/>
      </c>
      <c r="I70" s="4" t="str">
        <f t="shared" si="21"/>
        <v/>
      </c>
      <c r="J70" s="5" t="str">
        <f t="shared" si="22"/>
        <v/>
      </c>
      <c r="K70" s="5" t="str">
        <f t="shared" si="23"/>
        <v/>
      </c>
      <c r="N70" s="2" t="str">
        <f t="shared" si="24"/>
        <v>https://www.publichealthontario.ca/-/media/Documents/I/26/ipac-vhf-specimen-collection.pdf?rev=aee3887ddf4a4c8aa8c47440061f1d77&amp;sc_lang=en</v>
      </c>
      <c r="O70" s="20">
        <v>235</v>
      </c>
      <c r="P70" s="20" t="s">
        <v>1369</v>
      </c>
      <c r="Q70" s="20" t="s">
        <v>651</v>
      </c>
      <c r="R70" s="2"/>
      <c r="S70" s="20" t="s">
        <v>652</v>
      </c>
      <c r="T70" s="20" t="s">
        <v>433</v>
      </c>
      <c r="U70" s="2"/>
      <c r="V70" s="20">
        <v>2</v>
      </c>
      <c r="W70" s="2"/>
      <c r="X70" s="20" t="s">
        <v>652</v>
      </c>
      <c r="Y70" s="2"/>
      <c r="Z70" s="20" t="s">
        <v>21</v>
      </c>
      <c r="AA70" s="2"/>
      <c r="AB70" s="2"/>
      <c r="AC70" s="2"/>
      <c r="AD70" s="20" t="s">
        <v>269</v>
      </c>
      <c r="AE70" s="2"/>
      <c r="AF70" s="20" t="s">
        <v>270</v>
      </c>
      <c r="AG70" s="2"/>
      <c r="AH70" s="2"/>
      <c r="AI70" s="20" t="s">
        <v>437</v>
      </c>
      <c r="AJ70" s="2"/>
      <c r="AK70" s="20" t="s">
        <v>438</v>
      </c>
      <c r="AL70" s="2"/>
      <c r="AM70" s="20" t="s">
        <v>653</v>
      </c>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row>
    <row r="71" spans="1:297" ht="60" customHeight="1" x14ac:dyDescent="0.25">
      <c r="A71" s="5" t="str">
        <f t="shared" si="13"/>
        <v>Ngongo, et al, (2026), Nature Medicine</v>
      </c>
      <c r="B71" s="3" t="str">
        <f t="shared" si="14"/>
        <v>Bundibugyo Ebola without vaccines or therapeutics: why public health fundamentals matter more than border closures</v>
      </c>
      <c r="C71" s="4" t="str">
        <f t="shared" si="15"/>
        <v>Commentary, Peer-reviewed publication</v>
      </c>
      <c r="D71" s="4" t="str">
        <f t="shared" si="16"/>
        <v>Bundibugyo</v>
      </c>
      <c r="E71" s="4" t="str">
        <f t="shared" si="17"/>
        <v>Yes</v>
      </c>
      <c r="F71" s="4" t="str">
        <f t="shared" si="18"/>
        <v/>
      </c>
      <c r="G71" s="4" t="str">
        <f t="shared" si="19"/>
        <v/>
      </c>
      <c r="H71" s="4" t="str">
        <f t="shared" si="20"/>
        <v/>
      </c>
      <c r="I71" s="4" t="str">
        <f t="shared" si="21"/>
        <v/>
      </c>
      <c r="J71" s="5" t="str">
        <f t="shared" si="22"/>
        <v/>
      </c>
      <c r="K71" s="5" t="str">
        <f t="shared" si="23"/>
        <v/>
      </c>
      <c r="N71" s="2" t="str">
        <f t="shared" si="24"/>
        <v>https://doi.org/https://doi.org/10.1038/s41591-026-04482-8</v>
      </c>
      <c r="O71" s="20">
        <v>236</v>
      </c>
      <c r="P71" s="20" t="s">
        <v>654</v>
      </c>
      <c r="Q71" s="20" t="s">
        <v>655</v>
      </c>
      <c r="R71" s="20" t="s">
        <v>656</v>
      </c>
      <c r="S71" s="20" t="s">
        <v>657</v>
      </c>
      <c r="T71" s="20" t="s">
        <v>266</v>
      </c>
      <c r="U71" s="2"/>
      <c r="V71" s="20">
        <v>2</v>
      </c>
      <c r="W71" s="2"/>
      <c r="X71" s="20" t="s">
        <v>658</v>
      </c>
      <c r="Y71" s="2"/>
      <c r="Z71" s="20" t="s">
        <v>21</v>
      </c>
      <c r="AA71" s="2"/>
      <c r="AB71" s="2"/>
      <c r="AC71" s="2"/>
      <c r="AD71" s="20" t="s">
        <v>352</v>
      </c>
      <c r="AE71" s="2"/>
      <c r="AF71" s="20" t="s">
        <v>270</v>
      </c>
      <c r="AG71" s="2"/>
      <c r="AH71" s="2"/>
      <c r="AI71" s="20" t="s">
        <v>271</v>
      </c>
      <c r="AJ71" s="2"/>
      <c r="AK71" s="20" t="s">
        <v>425</v>
      </c>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row>
    <row r="72" spans="1:297" ht="60" customHeight="1" x14ac:dyDescent="0.25">
      <c r="A72" s="5" t="str">
        <f t="shared" si="13"/>
        <v>Mwamba D, et al, (2026), Nature</v>
      </c>
      <c r="B72" s="3" t="str">
        <f t="shared" si="14"/>
        <v>Arson attacks at Ebola hospitals are a cry for regional development</v>
      </c>
      <c r="C72" s="4" t="str">
        <f t="shared" si="15"/>
        <v>Commentary, Peer-reviewed publication</v>
      </c>
      <c r="D72" s="4" t="str">
        <f t="shared" si="16"/>
        <v>Bundibugyo</v>
      </c>
      <c r="E72" s="4" t="str">
        <f t="shared" si="17"/>
        <v>Yes</v>
      </c>
      <c r="F72" s="4" t="str">
        <f t="shared" si="18"/>
        <v/>
      </c>
      <c r="G72" s="4" t="str">
        <f t="shared" si="19"/>
        <v/>
      </c>
      <c r="H72" s="4" t="str">
        <f t="shared" si="20"/>
        <v/>
      </c>
      <c r="I72" s="4" t="str">
        <f t="shared" si="21"/>
        <v/>
      </c>
      <c r="J72" s="5" t="str">
        <f t="shared" si="22"/>
        <v/>
      </c>
      <c r="K72" s="5" t="str">
        <f t="shared" si="23"/>
        <v/>
      </c>
      <c r="N72" s="2" t="str">
        <f t="shared" si="24"/>
        <v>https://doi.org/https://doi.org/10.1038/d41586-026-01846-5</v>
      </c>
      <c r="O72" s="20">
        <v>237</v>
      </c>
      <c r="P72" s="20" t="s">
        <v>659</v>
      </c>
      <c r="Q72" s="20" t="s">
        <v>660</v>
      </c>
      <c r="R72" s="20" t="s">
        <v>661</v>
      </c>
      <c r="S72" s="20" t="s">
        <v>662</v>
      </c>
      <c r="T72" s="20" t="s">
        <v>297</v>
      </c>
      <c r="U72" s="2"/>
      <c r="V72" s="20">
        <v>2</v>
      </c>
      <c r="W72" s="2"/>
      <c r="X72" s="20" t="s">
        <v>662</v>
      </c>
      <c r="Y72" s="2"/>
      <c r="Z72" s="20" t="s">
        <v>21</v>
      </c>
      <c r="AA72" s="2"/>
      <c r="AB72" s="2"/>
      <c r="AC72" s="2"/>
      <c r="AD72" s="20" t="s">
        <v>352</v>
      </c>
      <c r="AE72" s="2"/>
      <c r="AF72" s="20" t="s">
        <v>270</v>
      </c>
      <c r="AG72" s="2"/>
      <c r="AH72" s="2"/>
      <c r="AI72" s="20" t="s">
        <v>271</v>
      </c>
      <c r="AJ72" s="2"/>
      <c r="AK72" s="20" t="s">
        <v>425</v>
      </c>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row>
    <row r="73" spans="1:297" ht="60" customHeight="1" x14ac:dyDescent="0.25">
      <c r="A73" s="5" t="str">
        <f t="shared" si="13"/>
        <v>Bhadelia, et al, (2026), International journal of infectious diseases : IJID : official publication of the International Society for Infectious Diseases</v>
      </c>
      <c r="B73" s="3" t="str">
        <f t="shared" si="14"/>
        <v>Regional Signals Preceding the 2026 Bundibugyo Virus Disease Outbreak</v>
      </c>
      <c r="C73" s="4" t="str">
        <f t="shared" si="15"/>
        <v>Primary - short communication, Descriptive, Peer-reviewed publication</v>
      </c>
      <c r="D73" s="4" t="str">
        <f t="shared" si="16"/>
        <v>Bundibugyo</v>
      </c>
      <c r="E73" s="4" t="str">
        <f t="shared" si="17"/>
        <v>No</v>
      </c>
      <c r="F73" s="4" t="str">
        <f t="shared" si="18"/>
        <v>The Biothreats Emergence, Analysis, and Communications Network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v>
      </c>
      <c r="G73" s="4" t="str">
        <f t="shared" si="19"/>
        <v>Outbreak Investigation</v>
      </c>
      <c r="H73" s="4" t="str">
        <f t="shared" si="20"/>
        <v>Human - General population</v>
      </c>
      <c r="I73" s="4" t="str">
        <f t="shared" si="21"/>
        <v/>
      </c>
      <c r="J73" s="5" t="str">
        <f t="shared" si="22"/>
        <v>EPI PARAMETER- Cluster investigation: BEACON detected four temporally proximal VHF-compatible illness signals: (1) March 9, North Kivu Province—suspected Ebola case under investigation with unresolved laboratory results; (2) March 10, Kasaï Province—fatal hemorrhagic illness with secondary cases and negative Ebola PCR; (3) March 30, Burundi—35-case undiagnosed cluster near the DRC border with 5 deaths, negative testing for major filoviruses and &gt;200 pathogens, pending metagenomic sequencing; (4) April 22, South Sudan—three suspected VHF cases with negative initial testing. All four signals shared a similar diagnostic phenotype: VHF-compatible presentation, mobilization of investigation teams, negative initial testing, and no publicly reported confirmed etiology. None were formally reported to have been resolved. The detection of four unresolved VHF signals preceding the confirmed BDBV outbreak highlights gaps in formal follow-up mechanisms for negative cases and fragmented regional diagnostic coordination.</v>
      </c>
      <c r="K73" s="5" t="str">
        <f t="shared" si="23"/>
        <v>The regional surveillance signals detected by BEACON, an open access event based surveillance program, in the weeks preceding outbreak declaration are described. Authors reviewed BEACON reports of VHF-compatible illness clusters detected in the transboundary DRC-Uganda-Burundi-South Sudan region during March–April 2026, prior to the May 15 laboratory confirmation of BDBV.</v>
      </c>
      <c r="N73" s="2" t="str">
        <f t="shared" si="24"/>
        <v>https://doi.org/10.1016/j.ijid.2026.108862</v>
      </c>
      <c r="O73" s="20">
        <v>239</v>
      </c>
      <c r="P73" s="20" t="s">
        <v>663</v>
      </c>
      <c r="Q73" s="20" t="s">
        <v>664</v>
      </c>
      <c r="R73" s="20" t="s">
        <v>665</v>
      </c>
      <c r="S73" s="20" t="s">
        <v>666</v>
      </c>
      <c r="T73" s="20" t="s">
        <v>266</v>
      </c>
      <c r="U73" s="2"/>
      <c r="V73" s="20" t="s">
        <v>267</v>
      </c>
      <c r="W73" s="2"/>
      <c r="X73" s="20" t="s">
        <v>667</v>
      </c>
      <c r="Y73" s="2"/>
      <c r="Z73" s="20" t="s">
        <v>21</v>
      </c>
      <c r="AA73" s="2"/>
      <c r="AB73" s="2"/>
      <c r="AC73" s="2"/>
      <c r="AD73" s="20" t="s">
        <v>269</v>
      </c>
      <c r="AE73" s="2"/>
      <c r="AF73" s="20" t="s">
        <v>270</v>
      </c>
      <c r="AG73" s="2"/>
      <c r="AH73" s="2"/>
      <c r="AI73" s="20" t="s">
        <v>271</v>
      </c>
      <c r="AJ73" s="2"/>
      <c r="AK73" s="20" t="s">
        <v>490</v>
      </c>
      <c r="AL73" s="2"/>
      <c r="AM73" s="2"/>
      <c r="AN73" s="2"/>
      <c r="AO73" s="2"/>
      <c r="AP73" s="20" t="s">
        <v>668</v>
      </c>
      <c r="AQ73" s="2"/>
      <c r="AR73" s="20" t="s">
        <v>37</v>
      </c>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0" t="s">
        <v>77</v>
      </c>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0" t="s">
        <v>73</v>
      </c>
      <c r="DW73" s="2"/>
      <c r="DX73" s="2"/>
      <c r="DY73" s="2"/>
      <c r="DZ73" s="2"/>
      <c r="EA73" s="2"/>
      <c r="EB73" s="2"/>
      <c r="EC73" s="2"/>
      <c r="ED73" s="20" t="s">
        <v>123</v>
      </c>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0" t="s">
        <v>73</v>
      </c>
      <c r="FS73" s="2"/>
      <c r="FT73" s="2"/>
      <c r="FU73" s="2"/>
      <c r="FV73" s="2"/>
      <c r="FW73" s="2"/>
      <c r="FX73" s="2"/>
      <c r="FY73" s="2"/>
      <c r="FZ73" s="2"/>
      <c r="GA73" s="2"/>
      <c r="GB73" s="2"/>
      <c r="GC73" s="2"/>
      <c r="GD73" s="2"/>
      <c r="GE73" s="2"/>
      <c r="GF73" s="20" t="s">
        <v>73</v>
      </c>
      <c r="GG73" s="2"/>
      <c r="GH73" s="2"/>
      <c r="GI73" s="2"/>
      <c r="GJ73" s="2"/>
      <c r="GK73" s="2"/>
      <c r="GL73" s="2"/>
      <c r="GM73" s="2"/>
      <c r="GN73" s="2"/>
      <c r="GO73" s="2"/>
      <c r="GP73" s="20" t="s">
        <v>73</v>
      </c>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0" t="s">
        <v>73</v>
      </c>
      <c r="HS73" s="2"/>
      <c r="HT73" s="2"/>
      <c r="HU73" s="2"/>
      <c r="HV73" s="2"/>
      <c r="HW73" s="2"/>
      <c r="HX73" s="2"/>
      <c r="HY73" s="2"/>
      <c r="HZ73" s="2"/>
      <c r="IA73" s="2"/>
      <c r="IB73" s="20" t="s">
        <v>73</v>
      </c>
      <c r="IC73" s="2"/>
      <c r="ID73" s="2"/>
      <c r="IE73" s="2"/>
      <c r="IF73" s="2"/>
      <c r="IG73" s="2"/>
      <c r="IH73" s="2"/>
      <c r="II73" s="2"/>
      <c r="IJ73" s="20" t="s">
        <v>73</v>
      </c>
      <c r="IK73" s="2"/>
      <c r="IL73" s="2"/>
      <c r="IM73" s="2"/>
      <c r="IN73" s="2"/>
      <c r="IO73" s="2"/>
      <c r="IP73" s="2"/>
      <c r="IQ73" s="2"/>
      <c r="IR73" s="2"/>
      <c r="IS73" s="2"/>
      <c r="IT73" s="20" t="s">
        <v>73</v>
      </c>
      <c r="IU73" s="2"/>
      <c r="IV73" s="2"/>
      <c r="IW73" s="2"/>
      <c r="IX73" s="20" t="s">
        <v>73</v>
      </c>
      <c r="IY73" s="2"/>
      <c r="IZ73" s="2"/>
      <c r="JA73" s="2"/>
      <c r="JB73" s="20" t="s">
        <v>73</v>
      </c>
      <c r="JC73" s="2"/>
      <c r="JD73" s="2"/>
      <c r="JE73" s="2"/>
      <c r="JF73" s="20" t="s">
        <v>73</v>
      </c>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0" t="s">
        <v>73</v>
      </c>
      <c r="KG73" s="2"/>
      <c r="KH73" s="20" t="s">
        <v>669</v>
      </c>
      <c r="KI73" s="2"/>
      <c r="KJ73" s="20" t="s">
        <v>670</v>
      </c>
      <c r="KK73" s="2"/>
    </row>
    <row r="74" spans="1:297" ht="60" customHeight="1" x14ac:dyDescent="0.25">
      <c r="A74" s="5" t="str">
        <f t="shared" si="13"/>
        <v>Nachega, et al, (2026), Lancet (London, England)</v>
      </c>
      <c r="B74" s="3" t="str">
        <f t="shared" si="14"/>
        <v>Ebola outbreak caused by Bundibugyo virus: challenges and priorities for epidemic preparedness and response</v>
      </c>
      <c r="C74" s="4" t="str">
        <f t="shared" si="15"/>
        <v>Commentary, Peer-reviewed publication</v>
      </c>
      <c r="D74" s="4" t="str">
        <f t="shared" si="16"/>
        <v>Bundibugyo</v>
      </c>
      <c r="E74" s="4" t="str">
        <f t="shared" si="17"/>
        <v>Yes</v>
      </c>
      <c r="F74" s="4" t="str">
        <f t="shared" si="18"/>
        <v/>
      </c>
      <c r="G74" s="4" t="str">
        <f t="shared" si="19"/>
        <v/>
      </c>
      <c r="H74" s="4" t="str">
        <f t="shared" si="20"/>
        <v/>
      </c>
      <c r="I74" s="4" t="str">
        <f t="shared" si="21"/>
        <v/>
      </c>
      <c r="J74" s="5" t="str">
        <f t="shared" si="22"/>
        <v/>
      </c>
      <c r="K74" s="5" t="str">
        <f t="shared" si="23"/>
        <v/>
      </c>
      <c r="N74" s="2" t="str">
        <f t="shared" si="24"/>
        <v>https://doi.org/10.1016/s0140-6736(26)01141-4</v>
      </c>
      <c r="O74" s="20">
        <v>240</v>
      </c>
      <c r="P74" s="20" t="s">
        <v>671</v>
      </c>
      <c r="Q74" s="20" t="s">
        <v>672</v>
      </c>
      <c r="R74" s="20" t="s">
        <v>673</v>
      </c>
      <c r="S74" s="20" t="s">
        <v>674</v>
      </c>
      <c r="T74" s="20" t="s">
        <v>266</v>
      </c>
      <c r="U74" s="2"/>
      <c r="V74" s="20">
        <v>2</v>
      </c>
      <c r="W74" s="2"/>
      <c r="X74" s="20" t="s">
        <v>675</v>
      </c>
      <c r="Y74" s="2"/>
      <c r="Z74" s="20" t="s">
        <v>21</v>
      </c>
      <c r="AA74" s="2"/>
      <c r="AB74" s="2"/>
      <c r="AC74" s="2"/>
      <c r="AD74" s="20" t="s">
        <v>352</v>
      </c>
      <c r="AE74" s="2"/>
      <c r="AF74" s="20" t="s">
        <v>270</v>
      </c>
      <c r="AG74" s="2"/>
      <c r="AH74" s="2"/>
      <c r="AI74" s="20" t="s">
        <v>271</v>
      </c>
      <c r="AJ74" s="2"/>
      <c r="AK74" s="20" t="s">
        <v>425</v>
      </c>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row>
    <row r="75" spans="1:297" ht="60" customHeight="1" x14ac:dyDescent="0.25">
      <c r="A75" s="5" t="str">
        <f t="shared" si="13"/>
        <v>Dutt, et al, (2026), The Journal of infection</v>
      </c>
      <c r="B75" s="3" t="str">
        <f t="shared" si="14"/>
        <v>Remdesivir triphosphate as a potential repurposed drug against the emerging Bundibugyo Ebolavirus 2026</v>
      </c>
      <c r="C75" s="4" t="str">
        <f t="shared" si="15"/>
        <v>Primary - short communication, Experimental, Peer-reviewed publication</v>
      </c>
      <c r="D75" s="4" t="str">
        <f t="shared" si="16"/>
        <v>Bundibugyo</v>
      </c>
      <c r="E75" s="4" t="str">
        <f t="shared" si="17"/>
        <v>Yes</v>
      </c>
      <c r="F75" s="4" t="str">
        <f t="shared" si="18"/>
        <v>Based on the mutation mapping profile, the authors observed no new mutations in the RdRp catalyist domain and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v>
      </c>
      <c r="G75" s="4" t="str">
        <f t="shared" si="19"/>
        <v>Pathogen mutations; pathogen structural characterization; pathogen  Protein-inhibitor/binding interactions</v>
      </c>
      <c r="H75" s="4" t="str">
        <f t="shared" si="20"/>
        <v>Human - General population</v>
      </c>
      <c r="I75" s="4" t="str">
        <f t="shared" si="21"/>
        <v/>
      </c>
      <c r="J75" s="5" t="str">
        <f t="shared" si="22"/>
        <v>PATHOGEN STUDIES - Mutations, Structural characterization, and Protein-inhibitor/binding interactions: The authors mapped the mutations in the L protein encoded by the newly sequenced genome of BDBV 2026 from the ongoing ebola outbreak in DRC and Uganda. Based on the mutation mapping profile, they observed no new mutations in the RdRp catalyist domain. Subsequently, they modeled the RdRp BDBV 2026 protein and docked RTP with the RdRp catalyist domain. RTP is an approved antiviral drug for SARS-CoV-2. The binding affinity of RTP to BDBV 2026 RdRp was found similar to the binding affinity of RTP to SARS-CoV-2 RdRp catalytic domain. RTP was found to tightly fit within the pocket site and the complex of the RTP and RdRp showed dense molecular interactions aiding in stabilizing the complex.</v>
      </c>
      <c r="K75" s="5" t="str">
        <f t="shared" si="23"/>
        <v>The authors performed molecular and mutational annotation of RNA-dependent RNA polymerase from BDBV and molecular docking of Remdesivir triphosphate (RTP) to RNA-dependent RNA polymerase in BDBV to evaluate inhibition potential inhibition of RTP against the RdRp encoded by the Large (L) protein of the BDBV. They sequenced a clinical isolate (CL023114) of a 59-year-old BDBV infected patient which was identified as travel case. Genome sequencing was performed using the Illumina NextSeq and the sequence was submitted to the Pathoplexus platform with accession number of PP_006XCJJ.1. To predict an accurate three dimensional (3D) structural model of the L protein (RdRp), the Google DeepMind-based AlphaFold3 algorithm was employed.</v>
      </c>
      <c r="N75" s="2" t="str">
        <f t="shared" si="24"/>
        <v>https://doi.org/10.1016/j.jinf.2026.106788</v>
      </c>
      <c r="O75" s="20">
        <v>241</v>
      </c>
      <c r="P75" s="20" t="s">
        <v>676</v>
      </c>
      <c r="Q75" s="20" t="s">
        <v>677</v>
      </c>
      <c r="R75" s="20" t="s">
        <v>678</v>
      </c>
      <c r="S75" s="20" t="s">
        <v>679</v>
      </c>
      <c r="T75" s="20" t="s">
        <v>266</v>
      </c>
      <c r="U75" s="2"/>
      <c r="V75" s="20" t="s">
        <v>267</v>
      </c>
      <c r="W75" s="2"/>
      <c r="X75" s="20" t="s">
        <v>680</v>
      </c>
      <c r="Y75" s="2"/>
      <c r="Z75" s="20" t="s">
        <v>21</v>
      </c>
      <c r="AA75" s="2"/>
      <c r="AB75" s="2"/>
      <c r="AC75" s="2"/>
      <c r="AD75" s="20" t="s">
        <v>352</v>
      </c>
      <c r="AE75" s="2"/>
      <c r="AF75" s="20" t="s">
        <v>270</v>
      </c>
      <c r="AG75" s="2"/>
      <c r="AH75" s="2"/>
      <c r="AI75" s="20" t="s">
        <v>271</v>
      </c>
      <c r="AJ75" s="2"/>
      <c r="AK75" s="20" t="s">
        <v>490</v>
      </c>
      <c r="AL75" s="2"/>
      <c r="AM75" s="2"/>
      <c r="AN75" s="2"/>
      <c r="AO75" s="2"/>
      <c r="AP75" s="20" t="s">
        <v>681</v>
      </c>
      <c r="AQ75" s="2"/>
      <c r="AR75" s="20" t="s">
        <v>37</v>
      </c>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0" t="s">
        <v>79</v>
      </c>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0" t="s">
        <v>73</v>
      </c>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0" t="s">
        <v>73</v>
      </c>
      <c r="EW75" s="2"/>
      <c r="EX75" s="2"/>
      <c r="EY75" s="2"/>
      <c r="EZ75" s="2"/>
      <c r="FA75" s="2"/>
      <c r="FB75" s="2"/>
      <c r="FC75" s="2"/>
      <c r="FD75" s="2"/>
      <c r="FE75" s="2"/>
      <c r="FF75" s="2"/>
      <c r="FG75" s="2"/>
      <c r="FH75" s="2"/>
      <c r="FI75" s="2"/>
      <c r="FJ75" s="2"/>
      <c r="FK75" s="2"/>
      <c r="FL75" s="2"/>
      <c r="FM75" s="2"/>
      <c r="FN75" s="2"/>
      <c r="FO75" s="2"/>
      <c r="FP75" s="2"/>
      <c r="FQ75" s="2"/>
      <c r="FR75" s="20" t="s">
        <v>73</v>
      </c>
      <c r="FS75" s="2"/>
      <c r="FT75" s="2"/>
      <c r="FU75" s="2"/>
      <c r="FV75" s="2"/>
      <c r="FW75" s="2"/>
      <c r="FX75" s="2"/>
      <c r="FY75" s="2"/>
      <c r="FZ75" s="2"/>
      <c r="GA75" s="2"/>
      <c r="GB75" s="2"/>
      <c r="GC75" s="2"/>
      <c r="GD75" s="2"/>
      <c r="GE75" s="2"/>
      <c r="GF75" s="20" t="s">
        <v>73</v>
      </c>
      <c r="GG75" s="2"/>
      <c r="GH75" s="2"/>
      <c r="GI75" s="2"/>
      <c r="GJ75" s="2"/>
      <c r="GK75" s="2"/>
      <c r="GL75" s="2"/>
      <c r="GM75" s="2"/>
      <c r="GN75" s="2"/>
      <c r="GO75" s="2"/>
      <c r="GP75" s="20" t="s">
        <v>73</v>
      </c>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0" t="s">
        <v>73</v>
      </c>
      <c r="HS75" s="2"/>
      <c r="HT75" s="2"/>
      <c r="HU75" s="2"/>
      <c r="HV75" s="2"/>
      <c r="HW75" s="2"/>
      <c r="HX75" s="2"/>
      <c r="HY75" s="2"/>
      <c r="HZ75" s="2"/>
      <c r="IA75" s="2"/>
      <c r="IB75" s="20" t="s">
        <v>73</v>
      </c>
      <c r="IC75" s="2"/>
      <c r="ID75" s="2"/>
      <c r="IE75" s="2"/>
      <c r="IF75" s="2"/>
      <c r="IG75" s="2"/>
      <c r="IH75" s="2"/>
      <c r="II75" s="2"/>
      <c r="IJ75" s="20" t="s">
        <v>73</v>
      </c>
      <c r="IK75" s="2"/>
      <c r="IL75" s="20" t="s">
        <v>221</v>
      </c>
      <c r="IM75" s="2"/>
      <c r="IN75" s="20" t="s">
        <v>223</v>
      </c>
      <c r="IO75" s="2"/>
      <c r="IP75" s="20" t="s">
        <v>225</v>
      </c>
      <c r="IQ75" s="2"/>
      <c r="IR75" s="2"/>
      <c r="IS75" s="2"/>
      <c r="IT75" s="2"/>
      <c r="IU75" s="2"/>
      <c r="IV75" s="2"/>
      <c r="IW75" s="2"/>
      <c r="IX75" s="20" t="s">
        <v>73</v>
      </c>
      <c r="IY75" s="2"/>
      <c r="IZ75" s="2"/>
      <c r="JA75" s="2"/>
      <c r="JB75" s="20" t="s">
        <v>73</v>
      </c>
      <c r="JC75" s="2"/>
      <c r="JD75" s="2"/>
      <c r="JE75" s="2"/>
      <c r="JF75" s="20" t="s">
        <v>73</v>
      </c>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0" t="s">
        <v>73</v>
      </c>
      <c r="KG75" s="2"/>
      <c r="KH75" s="20" t="s">
        <v>682</v>
      </c>
      <c r="KI75" s="2"/>
      <c r="KJ75" s="20" t="s">
        <v>683</v>
      </c>
      <c r="KK75" s="2"/>
    </row>
    <row r="76" spans="1:297" ht="60" customHeight="1" x14ac:dyDescent="0.25">
      <c r="A76" s="5" t="str">
        <f t="shared" si="13"/>
        <v>Kinoshita, et al, (2026), medRxiv</v>
      </c>
      <c r="B76" s="3" t="str">
        <f t="shared" si="14"/>
        <v>Early assessment of potential airline-mediated importation risk during the 2026 DRC-Uganda Bundibugyo virus disease outbreak</v>
      </c>
      <c r="C76" s="4" t="str">
        <f t="shared" si="15"/>
        <v>Primary - article, Modeling, Preprint</v>
      </c>
      <c r="D76" s="4" t="str">
        <f t="shared" si="16"/>
        <v>Bundibugyo</v>
      </c>
      <c r="E76" s="4" t="str">
        <f t="shared" si="17"/>
        <v>Yes</v>
      </c>
      <c r="F76" s="4" t="str">
        <f t="shared" si="18"/>
        <v>Effective-distance analyses identified major international hub countries, including Belgium, France, South Africa, Kenya, and the United Arab Emirates, as higher-probability gateways within 30 days, with the top-ranked countries all exceeding a probability of 0.64 (range: 0.28-0.82 in the sensitivity analysis).  These early projections provide a reproducible framework for real-time international situational awareness, while emphasizing that importation risk does not imply local transmission risk.</v>
      </c>
      <c r="G76" s="4" t="str">
        <f t="shared" si="19"/>
        <v>Size or Duration estimate</v>
      </c>
      <c r="H76" s="4" t="str">
        <f t="shared" si="20"/>
        <v>Human - General population</v>
      </c>
      <c r="I76" s="4" t="str">
        <f t="shared" si="21"/>
        <v/>
      </c>
      <c r="J76" s="5" t="str">
        <f t="shared" si="22"/>
        <v>Epidemiological Parameter - Estimates of outbreak size or duration:  The highest 30 day country-level arrival probabilities were observed in major international hub countries including Belgium, France, South Africa, Kenya, and the United Arab Emirates, with the top-ranked countries all exceeding 0.64, whose probaility ranged from 0.28 to 0.82 in the sensitivity analysis.</v>
      </c>
      <c r="K76" s="5" t="str">
        <f t="shared" si="23"/>
        <v>The study projected airline-mediated importation risk for Bundibugyo virus disease during the 2026 DRC-Uganda outbreak using a hazard-based model using the 2013–2016 West African EVD epidemic. Researchers constructed a directed, weighted air-traffic network from 2024 passenger-flow data and calculated the shortest paths distances from Kinshasa/N’djili International Airport to global destinations using Dijkstra’s algorithm. Arrival probabilities were estimated along with sensitivity analyses exploring alternative starting points (Entebbe International Airport).</v>
      </c>
      <c r="N76" s="2" t="str">
        <f t="shared" si="24"/>
        <v>https://doi.org/10.64898/2026.06.01.26354569</v>
      </c>
      <c r="O76" s="20">
        <v>242</v>
      </c>
      <c r="P76" s="20" t="s">
        <v>684</v>
      </c>
      <c r="Q76" s="20" t="s">
        <v>685</v>
      </c>
      <c r="R76" s="20" t="s">
        <v>686</v>
      </c>
      <c r="S76" s="20" t="s">
        <v>687</v>
      </c>
      <c r="T76" s="20" t="s">
        <v>266</v>
      </c>
      <c r="U76" s="2"/>
      <c r="V76" s="20" t="s">
        <v>267</v>
      </c>
      <c r="W76" s="2"/>
      <c r="X76" s="20" t="s">
        <v>688</v>
      </c>
      <c r="Y76" s="2"/>
      <c r="Z76" s="20" t="s">
        <v>21</v>
      </c>
      <c r="AA76" s="2"/>
      <c r="AB76" s="2"/>
      <c r="AC76" s="2"/>
      <c r="AD76" s="20" t="s">
        <v>352</v>
      </c>
      <c r="AE76" s="2"/>
      <c r="AF76" s="20" t="s">
        <v>270</v>
      </c>
      <c r="AG76" s="2"/>
      <c r="AH76" s="2"/>
      <c r="AI76" s="20" t="s">
        <v>353</v>
      </c>
      <c r="AJ76" s="2"/>
      <c r="AK76" s="20" t="s">
        <v>272</v>
      </c>
      <c r="AL76" s="2"/>
      <c r="AM76" s="2"/>
      <c r="AN76" s="2"/>
      <c r="AO76" s="2"/>
      <c r="AP76" s="20" t="s">
        <v>689</v>
      </c>
      <c r="AQ76" s="2"/>
      <c r="AR76" s="20" t="s">
        <v>37</v>
      </c>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0" t="s">
        <v>83</v>
      </c>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0" t="s">
        <v>73</v>
      </c>
      <c r="DW76" s="2"/>
      <c r="DX76" s="2"/>
      <c r="DY76" s="2"/>
      <c r="DZ76" s="2"/>
      <c r="EA76" s="2"/>
      <c r="EB76" s="2"/>
      <c r="EC76" s="2"/>
      <c r="ED76" s="2"/>
      <c r="EE76" s="2"/>
      <c r="EF76" s="2"/>
      <c r="EG76" s="2"/>
      <c r="EH76" s="2"/>
      <c r="EI76" s="2"/>
      <c r="EJ76" s="2"/>
      <c r="EK76" s="2"/>
      <c r="EL76" s="2"/>
      <c r="EM76" s="2"/>
      <c r="EN76" s="2"/>
      <c r="EO76" s="2"/>
      <c r="EP76" s="20" t="s">
        <v>135</v>
      </c>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0" t="s">
        <v>73</v>
      </c>
      <c r="FS76" s="2"/>
      <c r="FT76" s="2"/>
      <c r="FU76" s="2"/>
      <c r="FV76" s="2"/>
      <c r="FW76" s="2"/>
      <c r="FX76" s="2"/>
      <c r="FY76" s="2"/>
      <c r="FZ76" s="2"/>
      <c r="GA76" s="2"/>
      <c r="GB76" s="2"/>
      <c r="GC76" s="2"/>
      <c r="GD76" s="2"/>
      <c r="GE76" s="2"/>
      <c r="GF76" s="20" t="s">
        <v>73</v>
      </c>
      <c r="GG76" s="2"/>
      <c r="GH76" s="2"/>
      <c r="GI76" s="2"/>
      <c r="GJ76" s="2"/>
      <c r="GK76" s="2"/>
      <c r="GL76" s="2"/>
      <c r="GM76" s="2"/>
      <c r="GN76" s="2"/>
      <c r="GO76" s="2"/>
      <c r="GP76" s="20" t="s">
        <v>73</v>
      </c>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0" t="s">
        <v>73</v>
      </c>
      <c r="HS76" s="2"/>
      <c r="HT76" s="2"/>
      <c r="HU76" s="2"/>
      <c r="HV76" s="2"/>
      <c r="HW76" s="2"/>
      <c r="HX76" s="2"/>
      <c r="HY76" s="2"/>
      <c r="HZ76" s="2"/>
      <c r="IA76" s="2"/>
      <c r="IB76" s="20" t="s">
        <v>73</v>
      </c>
      <c r="IC76" s="2"/>
      <c r="ID76" s="2"/>
      <c r="IE76" s="2"/>
      <c r="IF76" s="2"/>
      <c r="IG76" s="2"/>
      <c r="IH76" s="2"/>
      <c r="II76" s="2"/>
      <c r="IJ76" s="20" t="s">
        <v>73</v>
      </c>
      <c r="IK76" s="2"/>
      <c r="IL76" s="2"/>
      <c r="IM76" s="2"/>
      <c r="IN76" s="2"/>
      <c r="IO76" s="2"/>
      <c r="IP76" s="2"/>
      <c r="IQ76" s="2"/>
      <c r="IR76" s="2"/>
      <c r="IS76" s="2"/>
      <c r="IT76" s="20" t="s">
        <v>73</v>
      </c>
      <c r="IU76" s="2"/>
      <c r="IV76" s="2"/>
      <c r="IW76" s="2"/>
      <c r="IX76" s="20" t="s">
        <v>73</v>
      </c>
      <c r="IY76" s="2"/>
      <c r="IZ76" s="2"/>
      <c r="JA76" s="2"/>
      <c r="JB76" s="20" t="s">
        <v>73</v>
      </c>
      <c r="JC76" s="2"/>
      <c r="JD76" s="2"/>
      <c r="JE76" s="2"/>
      <c r="JF76" s="20" t="s">
        <v>73</v>
      </c>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0" t="s">
        <v>73</v>
      </c>
      <c r="KG76" s="2"/>
      <c r="KH76" s="20" t="s">
        <v>690</v>
      </c>
      <c r="KI76" s="2"/>
      <c r="KJ76" s="20" t="s">
        <v>691</v>
      </c>
      <c r="KK76" s="2"/>
    </row>
    <row r="77" spans="1:297" ht="60" customHeight="1" x14ac:dyDescent="0.25">
      <c r="A77" s="5" t="str">
        <f t="shared" si="13"/>
        <v>Boatemaa, et al, (2026), Research Square</v>
      </c>
      <c r="B77" s="3" t="str">
        <f t="shared" si="14"/>
        <v>Mapping the Global Evidence Base of Bundibugyo Ebolavirus Disease: A Systematic Scoping Review of Research Gaps and Preparedness Priorities</v>
      </c>
      <c r="C77" s="4" t="str">
        <f t="shared" si="15"/>
        <v>Scoping Review, Preprint</v>
      </c>
      <c r="D77" s="4" t="str">
        <f t="shared" si="16"/>
        <v>Bundibugyo</v>
      </c>
      <c r="E77" s="4" t="str">
        <f t="shared" si="17"/>
        <v>Yes</v>
      </c>
      <c r="F77" s="4" t="str">
        <f t="shared" si="18"/>
        <v>Only 23% of included studies specifically examined Bundibugyo virus disease (BDBV), with most research focused on other ebolaviruses, particularly Zaire ebolavirus, and concentrated on epidemiological drivers and clinical features. Major gaps remain in response-related research, including the absence of licensed BDBV-specific vaccines, therapeutics, and validated rapid diagnostics, while survivor outcomes are poorly characterized and study quality is limited by moderate risk of bias from missing outcome data and selective reporting.</v>
      </c>
      <c r="G77" s="4" t="str">
        <f t="shared" si="19"/>
        <v>Incidence / prevalence; Long term infection characteristics; Mortality; Vaccination immunity - efficacy/effectiveness; Infection immunity measures (Ab, titre, cytokines); Vaccine immunity measures (Ab, titre, cytokines); Thearapeutics; DTA; Pathogen mutations; Phylogenetic analysis/molecular epidemiology</v>
      </c>
      <c r="H77" s="4" t="str">
        <f t="shared" si="20"/>
        <v>Human - General population, Animal - natural infection</v>
      </c>
      <c r="I77" s="4" t="str">
        <f t="shared" si="21"/>
        <v>Zoonotic</v>
      </c>
      <c r="J77" s="5" t="str">
        <f t="shared" si="22"/>
        <v>Only 23% of the included studies specifically addressed BDBV, with the remainder focusing on broader ebolavirus topics dominated by Zaire ebolavirus (EBOV). Applying the conceptual model revealed pronounced asymmetries across the research domains: the literature remains heavily concentrated within upstream epidemiological drivers and clinical features. Conversely, critical health system response domains lack validated tools; no licensed vaccine, specific therapeutic agent, or point-of-care rapid diagnostic test validated for BDBV currently exists. While cross-reactive monoclonal antibodies show preclinical efficacy, clinical-grade validation remains absent, and longitudinal survivor outcomes are sparsely documented. Systemic moderators, particularly weak health infrastructure and conflict, continue to compound these gaps. Methodological risk of bias was moderate, driven by missing outcome data (42% of studies) and selective reporting (41%). Conclusions BDBV remains understudied relative to its epidemic potential.</v>
      </c>
      <c r="K77" s="5" t="str">
        <f t="shared" si="23"/>
        <v>This systematic scoping review was conducted in accordance with the Preferred Reporting Items for Systematic Reviews and Meta-Analyses Extension for Scoping Reviews (PRISMA-ScR) guidelines. The protocol was prospectively registered on the Open Science Framework (available at: https://osf.io/q8r63). Searches were executed programmatically using a custom Python 3.12 script on 1 May 2026 across PubMed/MEDLINE, OpenAlex, and Semantic Scholar, supplemented by manual searches of Scopus, Web of Science, WHO Disease Outbreak News, Africa CDC, medRxiv, and ReliefWeb. The PubMed strategy combined MeSH terms and free-text synonyms across 24 topic-specific queries.</v>
      </c>
      <c r="N77" s="2" t="str">
        <f t="shared" si="24"/>
        <v>https://doi.org/10.21203/rs.3.rs-9948439/v1</v>
      </c>
      <c r="O77" s="20">
        <v>243</v>
      </c>
      <c r="P77" s="20" t="s">
        <v>692</v>
      </c>
      <c r="Q77" s="20" t="s">
        <v>693</v>
      </c>
      <c r="R77" s="20" t="s">
        <v>694</v>
      </c>
      <c r="S77" s="20" t="s">
        <v>695</v>
      </c>
      <c r="T77" s="20" t="s">
        <v>266</v>
      </c>
      <c r="U77" s="2"/>
      <c r="V77" s="20" t="s">
        <v>267</v>
      </c>
      <c r="W77" s="2"/>
      <c r="X77" s="20" t="s">
        <v>696</v>
      </c>
      <c r="Y77" s="2"/>
      <c r="Z77" s="20" t="s">
        <v>21</v>
      </c>
      <c r="AA77" s="2"/>
      <c r="AB77" s="2"/>
      <c r="AC77" s="2"/>
      <c r="AD77" s="20" t="s">
        <v>352</v>
      </c>
      <c r="AE77" s="2"/>
      <c r="AF77" s="20" t="s">
        <v>270</v>
      </c>
      <c r="AG77" s="2"/>
      <c r="AH77" s="2"/>
      <c r="AI77" s="20" t="s">
        <v>353</v>
      </c>
      <c r="AJ77" s="2"/>
      <c r="AK77" s="20" t="s">
        <v>697</v>
      </c>
      <c r="AL77" s="2"/>
      <c r="AM77" s="2"/>
      <c r="AN77" s="2"/>
      <c r="AO77" s="2"/>
      <c r="AP77" s="20" t="s">
        <v>698</v>
      </c>
      <c r="AQ77" s="2"/>
      <c r="AR77" s="20" t="s">
        <v>37</v>
      </c>
      <c r="AS77" s="2"/>
      <c r="AT77" s="2"/>
      <c r="AU77" s="2"/>
      <c r="AV77" s="2"/>
      <c r="AW77" s="2"/>
      <c r="AX77" s="2"/>
      <c r="AY77" s="2"/>
      <c r="AZ77" s="2"/>
      <c r="BA77" s="2"/>
      <c r="BB77" s="2"/>
      <c r="BC77" s="2"/>
      <c r="BD77" s="2"/>
      <c r="BE77" s="2"/>
      <c r="BF77" s="2"/>
      <c r="BG77" s="2"/>
      <c r="BH77" s="2"/>
      <c r="BI77" s="2"/>
      <c r="BJ77" s="2"/>
      <c r="BK77" s="2"/>
      <c r="BL77" s="20" t="s">
        <v>57</v>
      </c>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0" t="s">
        <v>73</v>
      </c>
      <c r="DA77" s="2"/>
      <c r="DB77" s="2"/>
      <c r="DC77" s="2"/>
      <c r="DD77" s="20" t="s">
        <v>99</v>
      </c>
      <c r="DE77" s="2"/>
      <c r="DF77" s="2"/>
      <c r="DG77" s="2"/>
      <c r="DH77" s="2"/>
      <c r="DI77" s="2"/>
      <c r="DJ77" s="2"/>
      <c r="DK77" s="2"/>
      <c r="DL77" s="2"/>
      <c r="DM77" s="2"/>
      <c r="DN77" s="2"/>
      <c r="DO77" s="2"/>
      <c r="DP77" s="2"/>
      <c r="DQ77" s="2"/>
      <c r="DR77" s="2"/>
      <c r="DS77" s="2"/>
      <c r="DT77" s="2"/>
      <c r="DU77" s="2"/>
      <c r="DV77" s="2"/>
      <c r="DW77" s="2"/>
      <c r="DX77" s="20" t="s">
        <v>117</v>
      </c>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0" t="s">
        <v>145</v>
      </c>
      <c r="FC77" s="2"/>
      <c r="FD77" s="2"/>
      <c r="FE77" s="2"/>
      <c r="FF77" s="20" t="s">
        <v>149</v>
      </c>
      <c r="FG77" s="2"/>
      <c r="FH77" s="2"/>
      <c r="FI77" s="2"/>
      <c r="FJ77" s="2"/>
      <c r="FK77" s="2"/>
      <c r="FL77" s="2"/>
      <c r="FM77" s="2"/>
      <c r="FN77" s="2"/>
      <c r="FO77" s="2"/>
      <c r="FP77" s="2"/>
      <c r="FQ77" s="2"/>
      <c r="FR77" s="2"/>
      <c r="FS77" s="2"/>
      <c r="FT77" s="2"/>
      <c r="FU77" s="2"/>
      <c r="FV77" s="20" t="s">
        <v>163</v>
      </c>
      <c r="FW77" s="2"/>
      <c r="FX77" s="2"/>
      <c r="FY77" s="2"/>
      <c r="FZ77" s="20" t="s">
        <v>167</v>
      </c>
      <c r="GA77" s="2"/>
      <c r="GB77" s="20" t="s">
        <v>169</v>
      </c>
      <c r="GC77" s="2"/>
      <c r="GD77" s="2"/>
      <c r="GE77" s="2"/>
      <c r="GF77" s="2"/>
      <c r="GG77" s="2"/>
      <c r="GH77" s="2"/>
      <c r="GI77" s="2"/>
      <c r="GJ77" s="2"/>
      <c r="GK77" s="2"/>
      <c r="GL77" s="2"/>
      <c r="GM77" s="2"/>
      <c r="GN77" s="2"/>
      <c r="GO77" s="2"/>
      <c r="GP77" s="20" t="s">
        <v>73</v>
      </c>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0" t="s">
        <v>73</v>
      </c>
      <c r="HS77" s="2"/>
      <c r="HT77" s="20" t="s">
        <v>207</v>
      </c>
      <c r="HU77" s="2"/>
      <c r="HV77" s="2"/>
      <c r="HW77" s="2"/>
      <c r="HX77" s="2"/>
      <c r="HY77" s="2"/>
      <c r="HZ77" s="2"/>
      <c r="IA77" s="2"/>
      <c r="IB77" s="2"/>
      <c r="IC77" s="2"/>
      <c r="ID77" s="20" t="s">
        <v>215</v>
      </c>
      <c r="IE77" s="2"/>
      <c r="IF77" s="2"/>
      <c r="IG77" s="2"/>
      <c r="IH77" s="2"/>
      <c r="II77" s="2"/>
      <c r="IJ77" s="2"/>
      <c r="IK77" s="2"/>
      <c r="IL77" s="20" t="s">
        <v>221</v>
      </c>
      <c r="IM77" s="2"/>
      <c r="IN77" s="2"/>
      <c r="IO77" s="2"/>
      <c r="IP77" s="2"/>
      <c r="IQ77" s="2"/>
      <c r="IR77" s="20" t="s">
        <v>227</v>
      </c>
      <c r="IS77" s="2"/>
      <c r="IT77" s="2"/>
      <c r="IU77" s="2"/>
      <c r="IV77" s="2"/>
      <c r="IW77" s="2"/>
      <c r="IX77" s="20" t="s">
        <v>73</v>
      </c>
      <c r="IY77" s="2"/>
      <c r="IZ77" s="2"/>
      <c r="JA77" s="2"/>
      <c r="JB77" s="20" t="s">
        <v>73</v>
      </c>
      <c r="JC77" s="2"/>
      <c r="JD77" s="2"/>
      <c r="JE77" s="2"/>
      <c r="JF77" s="20" t="s">
        <v>73</v>
      </c>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0" t="s">
        <v>73</v>
      </c>
      <c r="KG77" s="2"/>
      <c r="KH77" s="20" t="s">
        <v>699</v>
      </c>
      <c r="KI77" s="2"/>
      <c r="KJ77" s="20" t="s">
        <v>700</v>
      </c>
      <c r="KK77" s="2"/>
    </row>
    <row r="78" spans="1:297" ht="60" customHeight="1" x14ac:dyDescent="0.25">
      <c r="A78" s="5" t="str">
        <f t="shared" si="13"/>
        <v xml:space="preserve">CDC, (2026) </v>
      </c>
      <c r="B78" s="3" t="str">
        <f t="shared" si="14"/>
        <v>Interim Guidance for Public Health Assessment and Management of Travelers from Countries Affected by the 2026 Ebola Outbreak</v>
      </c>
      <c r="C78" s="4" t="str">
        <f t="shared" si="15"/>
        <v>Guideline, Government report</v>
      </c>
      <c r="D78" s="4" t="str">
        <f t="shared" si="16"/>
        <v>Bundibugyo</v>
      </c>
      <c r="E78" s="4" t="str">
        <f t="shared" si="17"/>
        <v>Yes</v>
      </c>
      <c r="F78" s="4" t="str">
        <f t="shared" si="18"/>
        <v>This page contains interim guidance for U.S. state, tribal, local and territorial health departments in conducting post-arrival public health assessments and management of travelers to their jurisdictions from the countries affected by the 2026 Ebola outbreak. This guidance reflects current evidence as of June 3, 2026, and may be updated as new information becomes available.</v>
      </c>
      <c r="G78" s="4" t="str">
        <f t="shared" si="19"/>
        <v/>
      </c>
      <c r="H78" s="4" t="str">
        <f t="shared" si="20"/>
        <v/>
      </c>
      <c r="I78" s="4" t="str">
        <f t="shared" si="21"/>
        <v/>
      </c>
      <c r="J78" s="5" t="str">
        <f t="shared" si="22"/>
        <v/>
      </c>
      <c r="K78" s="5" t="str">
        <f t="shared" si="23"/>
        <v/>
      </c>
      <c r="N78" s="2" t="str">
        <f t="shared" si="24"/>
        <v>https://www.cdc.gov/ebola/php/emergency-guidance/</v>
      </c>
      <c r="O78" s="20">
        <v>250</v>
      </c>
      <c r="P78" s="20" t="s">
        <v>1375</v>
      </c>
      <c r="Q78" s="20" t="s">
        <v>701</v>
      </c>
      <c r="R78" s="2"/>
      <c r="S78" s="20" t="s">
        <v>702</v>
      </c>
      <c r="T78" s="20" t="s">
        <v>266</v>
      </c>
      <c r="U78" s="2"/>
      <c r="V78" s="20">
        <v>2</v>
      </c>
      <c r="W78" s="2"/>
      <c r="X78" s="20" t="s">
        <v>702</v>
      </c>
      <c r="Y78" s="2"/>
      <c r="Z78" s="20" t="s">
        <v>21</v>
      </c>
      <c r="AA78" s="2"/>
      <c r="AB78" s="2"/>
      <c r="AC78" s="2"/>
      <c r="AD78" s="20" t="s">
        <v>352</v>
      </c>
      <c r="AE78" s="2"/>
      <c r="AF78" s="20" t="s">
        <v>270</v>
      </c>
      <c r="AG78" s="2"/>
      <c r="AH78" s="2"/>
      <c r="AI78" s="20" t="s">
        <v>437</v>
      </c>
      <c r="AJ78" s="2"/>
      <c r="AK78" s="20" t="s">
        <v>438</v>
      </c>
      <c r="AL78" s="2"/>
      <c r="AM78" s="20" t="s">
        <v>703</v>
      </c>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row>
    <row r="79" spans="1:297" ht="60" customHeight="1" x14ac:dyDescent="0.25">
      <c r="A79" s="5" t="str">
        <f t="shared" si="13"/>
        <v xml:space="preserve">CDC, (2026) </v>
      </c>
      <c r="B79" s="3" t="str">
        <f t="shared" si="14"/>
        <v>Ebola and Marburg haemorrhagic fevers: outbreaks and case locations</v>
      </c>
      <c r="C79" s="4" t="str">
        <f t="shared" si="15"/>
        <v>Guideline, Government report</v>
      </c>
      <c r="D79" s="4" t="str">
        <f t="shared" si="16"/>
        <v>Bundibugyo</v>
      </c>
      <c r="E79" s="4" t="str">
        <f t="shared" si="17"/>
        <v>Yes</v>
      </c>
      <c r="F79" s="4" t="str">
        <f t="shared" si="18"/>
        <v>This guidance includes information about incidents and outbreaks of Ebola and Marburg, both viral haemorrhagic fevers (VHF). As of June 10, 2026, the Democratic Republic of the Congo (DRC) and Uganda are experiencing a public health emergency of international concern due to a new outbreak of Ebola disease caused by the Bundibugyo virus, with 598 confirmed cases and 101 deaths reported in the DRC, and 19 confirmed cases and 2 deaths reported in Uganda. This outbreak is part of a series of Ebola and Marburg virus disease incidents and outbreaks that have occurred globally from 2016 to 2026, with various countries including Ethiopia, Rwanda, Tanzania, and Ghana being affected, and the DRC being the most frequently impacted country.</v>
      </c>
      <c r="G79" s="4" t="str">
        <f t="shared" si="19"/>
        <v/>
      </c>
      <c r="H79" s="4" t="str">
        <f t="shared" si="20"/>
        <v/>
      </c>
      <c r="I79" s="4" t="str">
        <f t="shared" si="21"/>
        <v/>
      </c>
      <c r="J79" s="5" t="str">
        <f t="shared" si="22"/>
        <v/>
      </c>
      <c r="K79" s="5" t="str">
        <f t="shared" si="23"/>
        <v/>
      </c>
      <c r="N79" s="2" t="str">
        <f t="shared" si="24"/>
        <v>https://www.gov.uk/guidance/ebola-and-marburg-haemorrhagic-fevers-outbreaks-and-case-locations</v>
      </c>
      <c r="O79" s="20">
        <v>253</v>
      </c>
      <c r="P79" s="20" t="s">
        <v>1375</v>
      </c>
      <c r="Q79" s="20" t="s">
        <v>704</v>
      </c>
      <c r="R79" s="2"/>
      <c r="S79" s="20" t="s">
        <v>705</v>
      </c>
      <c r="T79" s="20" t="s">
        <v>266</v>
      </c>
      <c r="U79" s="2"/>
      <c r="V79" s="20">
        <v>2</v>
      </c>
      <c r="W79" s="2"/>
      <c r="X79" s="20" t="s">
        <v>706</v>
      </c>
      <c r="Y79" s="2"/>
      <c r="Z79" s="20" t="s">
        <v>21</v>
      </c>
      <c r="AA79" s="2"/>
      <c r="AB79" s="2"/>
      <c r="AC79" s="2"/>
      <c r="AD79" s="20" t="s">
        <v>352</v>
      </c>
      <c r="AE79" s="2"/>
      <c r="AF79" s="20" t="s">
        <v>270</v>
      </c>
      <c r="AG79" s="2"/>
      <c r="AH79" s="2"/>
      <c r="AI79" s="20" t="s">
        <v>437</v>
      </c>
      <c r="AJ79" s="2"/>
      <c r="AK79" s="20" t="s">
        <v>438</v>
      </c>
      <c r="AL79" s="2"/>
      <c r="AM79" s="20" t="s">
        <v>707</v>
      </c>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row>
    <row r="80" spans="1:297" ht="60" customHeight="1" x14ac:dyDescent="0.25">
      <c r="A80" s="5" t="str">
        <f t="shared" si="13"/>
        <v>McCabe, et al, (2026), The Lancet Infectious Diseases</v>
      </c>
      <c r="B80" s="3" t="str">
        <f t="shared" si="14"/>
        <v>Estimation of the Ebola outbreak size in the Democratic Republic of the Congo</v>
      </c>
      <c r="C80" s="4" t="str">
        <f t="shared" si="15"/>
        <v>Primary - short communication, Modeling, Peer-reviewed publication</v>
      </c>
      <c r="D80" s="4" t="str">
        <f t="shared" si="16"/>
        <v>Bundibugyo</v>
      </c>
      <c r="E80" s="4" t="str">
        <f t="shared" si="17"/>
        <v>Yes</v>
      </c>
      <c r="F80" s="4" t="str">
        <f t="shared" si="18"/>
        <v>The results suggest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these estimates from two independent methods supports the conclusion of potentially substantial underdetection of cases and the potential for wider transmission.</v>
      </c>
      <c r="G80" s="4" t="str">
        <f t="shared" si="19"/>
        <v>Size or Duration estimate</v>
      </c>
      <c r="H80" s="4" t="str">
        <f t="shared" si="20"/>
        <v>Human - General population</v>
      </c>
      <c r="I80" s="4" t="str">
        <f t="shared" si="21"/>
        <v/>
      </c>
      <c r="J80" s="5" t="str">
        <f t="shared" si="22"/>
        <v>EPI PARAMETER: Outbreak size/duration: The authors found broadly consistent results suggesting that as of May 27, 2026, approximately 280–2520 cases of Bundibugyo virus disease might have occurred in the Democratic Republic of the Congo (estimate range 306–2521 with the back-calculation model and 282–1345 with the geographical spread model); however, there is considerable uncertainty around these estimates. The broad convergence of our estimates from two independent methods supports the conclusion of potentially substantial underdetection of cases and the potential for wider transmission.</v>
      </c>
      <c r="K80" s="5" t="str">
        <f t="shared" si="23"/>
        <v>To produce early estimates of the epidemic size in the Democratic Republic of the Congo as of May 27, 2026, The authors conducted scenario based analyses using two simple independent methods, with the scarce information available and making plausible assumptions about the surveillance, severity, and growth of the outbreak. The first method uses an analytical framework linking reported suspected and confirmed deaths, of which the authors assume a proportion is due to Ebola, with estimates of the case fatality ratio (33% [95% CI 26–40]; defined as the proportion of patients who die as a result of a Bundibugyo virus infection) and the time from symptom onset to death (gamma distribution mean 11·37 days [SD 5·41]) derived from previous Bundibugyo virus. The second method combined information on the three confirmed imported Bundibugyo virus disease cases reported in Uganda (as of May 27, 2026), estimates of daily international travel volumes from Ituri and Nord Kivu provinces to Uganda, assumptions about the epidemic doubling time, and we presumed that all cases in symptomatic travellers will be detected at the time of recovery or death.</v>
      </c>
      <c r="N80" s="2" t="str">
        <f t="shared" si="24"/>
        <v>https://doi.org/10.1016/S1473-3099(26)00299-9</v>
      </c>
      <c r="O80" s="20">
        <v>266</v>
      </c>
      <c r="P80" s="20" t="s">
        <v>708</v>
      </c>
      <c r="Q80" s="20" t="s">
        <v>709</v>
      </c>
      <c r="R80" s="20" t="s">
        <v>710</v>
      </c>
      <c r="S80" s="20" t="s">
        <v>711</v>
      </c>
      <c r="T80" s="20" t="s">
        <v>266</v>
      </c>
      <c r="U80" s="2"/>
      <c r="V80" s="20" t="s">
        <v>267</v>
      </c>
      <c r="W80" s="2"/>
      <c r="X80" s="20" t="s">
        <v>711</v>
      </c>
      <c r="Y80" s="2"/>
      <c r="Z80" s="20" t="s">
        <v>21</v>
      </c>
      <c r="AA80" s="2"/>
      <c r="AB80" s="2"/>
      <c r="AC80" s="2"/>
      <c r="AD80" s="20" t="s">
        <v>352</v>
      </c>
      <c r="AE80" s="2"/>
      <c r="AF80" s="20" t="s">
        <v>270</v>
      </c>
      <c r="AG80" s="2"/>
      <c r="AH80" s="2"/>
      <c r="AI80" s="20" t="s">
        <v>271</v>
      </c>
      <c r="AJ80" s="2"/>
      <c r="AK80" s="20" t="s">
        <v>490</v>
      </c>
      <c r="AL80" s="2"/>
      <c r="AM80" s="2"/>
      <c r="AN80" s="2"/>
      <c r="AO80" s="2"/>
      <c r="AP80" s="20" t="s">
        <v>712</v>
      </c>
      <c r="AQ80" s="2"/>
      <c r="AR80" s="20" t="s">
        <v>37</v>
      </c>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0" t="s">
        <v>83</v>
      </c>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0" t="s">
        <v>73</v>
      </c>
      <c r="DW80" s="2"/>
      <c r="DX80" s="2"/>
      <c r="DY80" s="2"/>
      <c r="DZ80" s="2"/>
      <c r="EA80" s="2"/>
      <c r="EB80" s="2"/>
      <c r="EC80" s="2"/>
      <c r="ED80" s="2"/>
      <c r="EE80" s="2"/>
      <c r="EF80" s="2"/>
      <c r="EG80" s="2"/>
      <c r="EH80" s="2"/>
      <c r="EI80" s="2"/>
      <c r="EJ80" s="2"/>
      <c r="EK80" s="2"/>
      <c r="EL80" s="2"/>
      <c r="EM80" s="2"/>
      <c r="EN80" s="2"/>
      <c r="EO80" s="2"/>
      <c r="EP80" s="20" t="s">
        <v>135</v>
      </c>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0" t="s">
        <v>73</v>
      </c>
      <c r="FS80" s="2"/>
      <c r="FT80" s="2"/>
      <c r="FU80" s="2"/>
      <c r="FV80" s="2"/>
      <c r="FW80" s="2"/>
      <c r="FX80" s="2"/>
      <c r="FY80" s="2"/>
      <c r="FZ80" s="2"/>
      <c r="GA80" s="2"/>
      <c r="GB80" s="2"/>
      <c r="GC80" s="2"/>
      <c r="GD80" s="2"/>
      <c r="GE80" s="2"/>
      <c r="GF80" s="20" t="s">
        <v>73</v>
      </c>
      <c r="GG80" s="2"/>
      <c r="GH80" s="2"/>
      <c r="GI80" s="2"/>
      <c r="GJ80" s="2"/>
      <c r="GK80" s="2"/>
      <c r="GL80" s="2"/>
      <c r="GM80" s="2"/>
      <c r="GN80" s="2"/>
      <c r="GO80" s="2"/>
      <c r="GP80" s="20" t="s">
        <v>73</v>
      </c>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0" t="s">
        <v>73</v>
      </c>
      <c r="HS80" s="2"/>
      <c r="HT80" s="2"/>
      <c r="HU80" s="2"/>
      <c r="HV80" s="2"/>
      <c r="HW80" s="2"/>
      <c r="HX80" s="2"/>
      <c r="HY80" s="2"/>
      <c r="HZ80" s="2"/>
      <c r="IA80" s="2"/>
      <c r="IB80" s="20" t="s">
        <v>73</v>
      </c>
      <c r="IC80" s="2"/>
      <c r="ID80" s="2"/>
      <c r="IE80" s="2"/>
      <c r="IF80" s="2"/>
      <c r="IG80" s="2"/>
      <c r="IH80" s="2"/>
      <c r="II80" s="2"/>
      <c r="IJ80" s="20" t="s">
        <v>73</v>
      </c>
      <c r="IK80" s="2"/>
      <c r="IL80" s="2"/>
      <c r="IM80" s="2"/>
      <c r="IN80" s="2"/>
      <c r="IO80" s="2"/>
      <c r="IP80" s="2"/>
      <c r="IQ80" s="2"/>
      <c r="IR80" s="2"/>
      <c r="IS80" s="2"/>
      <c r="IT80" s="20" t="s">
        <v>73</v>
      </c>
      <c r="IU80" s="2"/>
      <c r="IV80" s="2"/>
      <c r="IW80" s="2"/>
      <c r="IX80" s="20" t="s">
        <v>73</v>
      </c>
      <c r="IY80" s="2"/>
      <c r="IZ80" s="2"/>
      <c r="JA80" s="2"/>
      <c r="JB80" s="20" t="s">
        <v>73</v>
      </c>
      <c r="JC80" s="2"/>
      <c r="JD80" s="2"/>
      <c r="JE80" s="2"/>
      <c r="JF80" s="20" t="s">
        <v>73</v>
      </c>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0" t="s">
        <v>73</v>
      </c>
      <c r="KG80" s="2"/>
      <c r="KH80" s="20" t="s">
        <v>713</v>
      </c>
      <c r="KI80" s="2"/>
      <c r="KJ80" s="20" t="s">
        <v>714</v>
      </c>
      <c r="KK80" s="2"/>
    </row>
    <row r="81" spans="1:297" ht="60" customHeight="1" x14ac:dyDescent="0.25">
      <c r="A81" s="5" t="str">
        <f t="shared" si="13"/>
        <v xml:space="preserve">ECDC, (2026) </v>
      </c>
      <c r="B81" s="3" t="str">
        <f t="shared" si="14"/>
        <v>Risk of Bundibugyo virus transmission through substances of human origin in the European Union/European Economic Area (EU/EEA)</v>
      </c>
      <c r="C81" s="4" t="str">
        <f t="shared" si="15"/>
        <v>Guideline, Government report</v>
      </c>
      <c r="D81" s="4" t="str">
        <f t="shared" si="16"/>
        <v>Bundibugyo</v>
      </c>
      <c r="E81" s="4" t="str">
        <f t="shared" si="17"/>
        <v>Yes</v>
      </c>
      <c r="F81" s="4" t="str">
        <f t="shared" si="18"/>
        <v>ECDC recommends temporary deferral of asymptomatic individuals donating substances of human origin (SoHO) for at least six weeks after arriving from areas with Bundibugyo virus community transmission and in the context of the current Ebola disease outbreak, individuals who are being monitored due to contact with a patient with an infection, or other exposure to Bundibugyo virus are ineligible to donate SoHO for at least six weeks from the beginning of the monitoring period. ECDC recommends a permanent deferral from donation of blood, cells and tissues for donors who have recovered from Ebola disease. ECDC also recommends that individuals who have had sexual contact with persons who have recovered from Ebola disease should be deferred from donating SoHO for at least six weeks after exposure, irrespective of the time elapsed since the recovery of the convalescent sexual contact.</v>
      </c>
      <c r="G81" s="4" t="str">
        <f t="shared" si="19"/>
        <v/>
      </c>
      <c r="H81" s="4" t="str">
        <f t="shared" si="20"/>
        <v/>
      </c>
      <c r="I81" s="4" t="str">
        <f t="shared" si="21"/>
        <v/>
      </c>
      <c r="J81" s="5" t="str">
        <f t="shared" si="22"/>
        <v/>
      </c>
      <c r="K81" s="5" t="str">
        <f t="shared" si="23"/>
        <v/>
      </c>
      <c r="N81" s="2" t="str">
        <f t="shared" si="24"/>
        <v>https://www.ecdc.europa.eu/sites/default/files/documents/Risk-of-BDBV-transmission-through-SoHO.pdf</v>
      </c>
      <c r="O81" s="20">
        <v>268</v>
      </c>
      <c r="P81" s="20" t="s">
        <v>1364</v>
      </c>
      <c r="Q81" s="20" t="s">
        <v>715</v>
      </c>
      <c r="R81" s="2"/>
      <c r="S81" s="20" t="s">
        <v>716</v>
      </c>
      <c r="T81" s="20" t="s">
        <v>266</v>
      </c>
      <c r="U81" s="2"/>
      <c r="V81" s="20">
        <v>2</v>
      </c>
      <c r="W81" s="2"/>
      <c r="X81" s="20" t="s">
        <v>716</v>
      </c>
      <c r="Y81" s="2"/>
      <c r="Z81" s="20" t="s">
        <v>21</v>
      </c>
      <c r="AA81" s="2"/>
      <c r="AB81" s="2"/>
      <c r="AC81" s="2"/>
      <c r="AD81" s="20" t="s">
        <v>352</v>
      </c>
      <c r="AE81" s="2"/>
      <c r="AF81" s="20" t="s">
        <v>270</v>
      </c>
      <c r="AG81" s="2"/>
      <c r="AH81" s="2"/>
      <c r="AI81" s="20" t="s">
        <v>437</v>
      </c>
      <c r="AJ81" s="2"/>
      <c r="AK81" s="20" t="s">
        <v>438</v>
      </c>
      <c r="AL81" s="2"/>
      <c r="AM81" s="20" t="s">
        <v>717</v>
      </c>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row>
    <row r="82" spans="1:297" ht="60" customHeight="1" x14ac:dyDescent="0.25">
      <c r="A82" s="5" t="str">
        <f t="shared" si="13"/>
        <v>Nsawotebba, et al, (2026), Nature medicine</v>
      </c>
      <c r="B82" s="3" t="str">
        <f t="shared" si="14"/>
        <v>Clinical Profile and Genomic Characterization of the 2026 Bundibugyo Virus Index Case in Uganda</v>
      </c>
      <c r="C82" s="4" t="str">
        <f t="shared" si="15"/>
        <v>Primary - short communication, Descriptive, Peer-reviewed publication</v>
      </c>
      <c r="D82" s="4" t="str">
        <f t="shared" si="16"/>
        <v>Bundibugyo</v>
      </c>
      <c r="E82" s="4" t="str">
        <f t="shared" si="17"/>
        <v>Yes</v>
      </c>
      <c r="F82" s="4" t="str">
        <f t="shared" si="18"/>
        <v>This is a case report of the Uganda 2026 BVD index case: a male patient who traveled from the Democratic Republic of the Congo to Uganda and was admitted to a private hospital in Kampala on May 11 and died on May 14. The 2026 BDBV genome formed a distinct lineage approximately equidistant from the 2007-2008 Butalya and 2012 Isiro variants, differing by 216-227 nucleotides (~1.2% sequence divergence).</v>
      </c>
      <c r="G82" s="4" t="str">
        <f t="shared" si="19"/>
        <v>Acute infection characteristics; Mortality; Hospitalizations; Phylogenetic analysis/molecular epidemiology</v>
      </c>
      <c r="H82" s="4" t="str">
        <f t="shared" si="20"/>
        <v>Human - General population</v>
      </c>
      <c r="I82" s="4" t="str">
        <f t="shared" si="21"/>
        <v/>
      </c>
      <c r="J82" s="5" t="str">
        <f t="shared" si="22"/>
        <v>Clinical Data - The patient’s clinical history revealed a complex cross-border pattern of healthcare-seeking behavior: he reportedly sought medical care in the DRC and later at a private clinic in Hoima District, western Uganda, where no blood work was performed before he left, and then self-referred to a private hospital in Kampala. The patient was transferred to the intensive care unit on 14 May with sepsis and multiorgan dysfunction, acute fulminant hepatitis, acute kidney injury, atrial flutter with a rapid ventricular response, and possible disseminated intravascular coagulation (DIC). He developed sudden cardiorespiratory arrest, and death was declared after unsuccessful  cardiopulmonary resuscitation. 
Phylogenetic analysis - Phylogenetic analysis showed that the 2026 Uganda genome forms a distinct lineage relative to both the 2007–2008 Uganda and 2012 DRC BDBV genomes. Pairwise genome comparisons  identified 219 nucleotide differences between the 2026 genome and the 2007–2008 Uganda genomes, and 216–227 nucleotide differences relative to the 2012 DRC genomes, corresponding 158 to approximately 1.2% sequence divergence across comparable nucleotide sites.</v>
      </c>
      <c r="K82" s="5" t="str">
        <f t="shared" si="23"/>
        <v>Clinical case report of index BVD case. Demographic information, including patient sex and travel history from the DRC, was extracted from a standardized national VHF case investigation form and the electronic case admission record. EDTA whole-blood specimen was collected before death and tested via RT-qPCR,  Genome sequencing and phylogenetic analysis.</v>
      </c>
      <c r="N82" s="2" t="str">
        <f t="shared" si="24"/>
        <v>https://doi.org/10.1038/s41591-026-04510-7</v>
      </c>
      <c r="O82" s="20">
        <v>270</v>
      </c>
      <c r="P82" s="20" t="s">
        <v>718</v>
      </c>
      <c r="Q82" s="20" t="s">
        <v>719</v>
      </c>
      <c r="R82" s="20" t="s">
        <v>720</v>
      </c>
      <c r="S82" s="20" t="s">
        <v>721</v>
      </c>
      <c r="T82" s="20" t="s">
        <v>266</v>
      </c>
      <c r="U82" s="2"/>
      <c r="V82" s="20" t="s">
        <v>267</v>
      </c>
      <c r="W82" s="2"/>
      <c r="X82" s="20" t="s">
        <v>722</v>
      </c>
      <c r="Y82" s="2"/>
      <c r="Z82" s="20" t="s">
        <v>21</v>
      </c>
      <c r="AA82" s="2"/>
      <c r="AB82" s="2"/>
      <c r="AC82" s="2"/>
      <c r="AD82" s="20" t="s">
        <v>352</v>
      </c>
      <c r="AE82" s="2"/>
      <c r="AF82" s="20" t="s">
        <v>270</v>
      </c>
      <c r="AG82" s="2"/>
      <c r="AH82" s="2"/>
      <c r="AI82" s="20" t="s">
        <v>271</v>
      </c>
      <c r="AJ82" s="2"/>
      <c r="AK82" s="20" t="s">
        <v>490</v>
      </c>
      <c r="AL82" s="2"/>
      <c r="AM82" s="2"/>
      <c r="AN82" s="2"/>
      <c r="AO82" s="2"/>
      <c r="AP82" s="20" t="s">
        <v>723</v>
      </c>
      <c r="AQ82" s="2"/>
      <c r="AR82" s="20" t="s">
        <v>37</v>
      </c>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0" t="s">
        <v>77</v>
      </c>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0" t="s">
        <v>73</v>
      </c>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0" t="s">
        <v>73</v>
      </c>
      <c r="EW82" s="2"/>
      <c r="EX82" s="20" t="s">
        <v>141</v>
      </c>
      <c r="EY82" s="2"/>
      <c r="EZ82" s="2"/>
      <c r="FA82" s="2"/>
      <c r="FB82" s="2"/>
      <c r="FC82" s="2"/>
      <c r="FD82" s="2"/>
      <c r="FE82" s="2"/>
      <c r="FF82" s="20" t="s">
        <v>149</v>
      </c>
      <c r="FG82" s="2"/>
      <c r="FH82" s="20" t="s">
        <v>151</v>
      </c>
      <c r="FI82" s="2"/>
      <c r="FJ82" s="2"/>
      <c r="FK82" s="2"/>
      <c r="FL82" s="2"/>
      <c r="FM82" s="2"/>
      <c r="FN82" s="2"/>
      <c r="FO82" s="2"/>
      <c r="FP82" s="2"/>
      <c r="FQ82" s="2"/>
      <c r="FR82" s="2"/>
      <c r="FS82" s="2"/>
      <c r="FT82" s="2"/>
      <c r="FU82" s="2"/>
      <c r="FV82" s="2"/>
      <c r="FW82" s="2"/>
      <c r="FX82" s="2"/>
      <c r="FY82" s="2"/>
      <c r="FZ82" s="2"/>
      <c r="GA82" s="2"/>
      <c r="GB82" s="2"/>
      <c r="GC82" s="2"/>
      <c r="GD82" s="2"/>
      <c r="GE82" s="2"/>
      <c r="GF82" s="20" t="s">
        <v>73</v>
      </c>
      <c r="GG82" s="2"/>
      <c r="GH82" s="2"/>
      <c r="GI82" s="2"/>
      <c r="GJ82" s="2"/>
      <c r="GK82" s="2"/>
      <c r="GL82" s="2"/>
      <c r="GM82" s="2"/>
      <c r="GN82" s="2"/>
      <c r="GO82" s="2"/>
      <c r="GP82" s="20" t="s">
        <v>73</v>
      </c>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0" t="s">
        <v>73</v>
      </c>
      <c r="HS82" s="2"/>
      <c r="HT82" s="2"/>
      <c r="HU82" s="2"/>
      <c r="HV82" s="2"/>
      <c r="HW82" s="2"/>
      <c r="HX82" s="2"/>
      <c r="HY82" s="2"/>
      <c r="HZ82" s="2"/>
      <c r="IA82" s="2"/>
      <c r="IB82" s="20" t="s">
        <v>73</v>
      </c>
      <c r="IC82" s="2"/>
      <c r="ID82" s="2"/>
      <c r="IE82" s="2"/>
      <c r="IF82" s="2"/>
      <c r="IG82" s="2"/>
      <c r="IH82" s="2"/>
      <c r="II82" s="2"/>
      <c r="IJ82" s="20" t="s">
        <v>73</v>
      </c>
      <c r="IK82" s="2"/>
      <c r="IL82" s="2"/>
      <c r="IM82" s="2"/>
      <c r="IN82" s="2"/>
      <c r="IO82" s="2"/>
      <c r="IP82" s="2"/>
      <c r="IQ82" s="2"/>
      <c r="IR82" s="20" t="s">
        <v>227</v>
      </c>
      <c r="IS82" s="2"/>
      <c r="IT82" s="2"/>
      <c r="IU82" s="2"/>
      <c r="IV82" s="2"/>
      <c r="IW82" s="2"/>
      <c r="IX82" s="20" t="s">
        <v>73</v>
      </c>
      <c r="IY82" s="2"/>
      <c r="IZ82" s="2"/>
      <c r="JA82" s="2"/>
      <c r="JB82" s="20" t="s">
        <v>73</v>
      </c>
      <c r="JC82" s="2"/>
      <c r="JD82" s="2"/>
      <c r="JE82" s="2"/>
      <c r="JF82" s="20" t="s">
        <v>73</v>
      </c>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0" t="s">
        <v>73</v>
      </c>
      <c r="KG82" s="2"/>
      <c r="KH82" s="20" t="s">
        <v>724</v>
      </c>
      <c r="KI82" s="2"/>
      <c r="KJ82" s="20" t="s">
        <v>725</v>
      </c>
      <c r="KK82" s="2"/>
    </row>
    <row r="83" spans="1:297" ht="60" customHeight="1" x14ac:dyDescent="0.25">
      <c r="A83" s="5" t="str">
        <f t="shared" si="13"/>
        <v>Ma, et al, (2026), Bioscience trends</v>
      </c>
      <c r="B83" s="3" t="str">
        <f t="shared" si="14"/>
        <v>Imported Ebola as a stress test of hospital resilience in an era of global connectivity</v>
      </c>
      <c r="C83" s="4" t="str">
        <f t="shared" si="15"/>
        <v>Commentary, Peer-reviewed publication</v>
      </c>
      <c r="D83" s="4" t="str">
        <f t="shared" si="16"/>
        <v>Bundibugyo</v>
      </c>
      <c r="E83" s="4" t="str">
        <f t="shared" si="17"/>
        <v>Yes</v>
      </c>
      <c r="F83" s="4" t="str">
        <f t="shared" si="18"/>
        <v/>
      </c>
      <c r="G83" s="4" t="str">
        <f t="shared" si="19"/>
        <v/>
      </c>
      <c r="H83" s="4" t="str">
        <f t="shared" si="20"/>
        <v/>
      </c>
      <c r="I83" s="4" t="str">
        <f t="shared" si="21"/>
        <v/>
      </c>
      <c r="J83" s="5" t="str">
        <f t="shared" si="22"/>
        <v/>
      </c>
      <c r="K83" s="5" t="str">
        <f t="shared" si="23"/>
        <v/>
      </c>
      <c r="N83" s="2" t="str">
        <f t="shared" si="24"/>
        <v>https://doi.org/10.5582/bst.2026.01141</v>
      </c>
      <c r="O83" s="20">
        <v>274</v>
      </c>
      <c r="P83" s="20" t="s">
        <v>726</v>
      </c>
      <c r="Q83" s="20" t="s">
        <v>727</v>
      </c>
      <c r="R83" s="20" t="s">
        <v>728</v>
      </c>
      <c r="S83" s="20" t="s">
        <v>729</v>
      </c>
      <c r="T83" s="20" t="s">
        <v>266</v>
      </c>
      <c r="U83" s="2"/>
      <c r="V83" s="20">
        <v>2</v>
      </c>
      <c r="W83" s="2"/>
      <c r="X83" s="20" t="s">
        <v>730</v>
      </c>
      <c r="Y83" s="2"/>
      <c r="Z83" s="20" t="s">
        <v>21</v>
      </c>
      <c r="AA83" s="2"/>
      <c r="AB83" s="2"/>
      <c r="AC83" s="2"/>
      <c r="AD83" s="20" t="s">
        <v>352</v>
      </c>
      <c r="AE83" s="2"/>
      <c r="AF83" s="20" t="s">
        <v>270</v>
      </c>
      <c r="AG83" s="2"/>
      <c r="AH83" s="2"/>
      <c r="AI83" s="20" t="s">
        <v>271</v>
      </c>
      <c r="AJ83" s="2"/>
      <c r="AK83" s="20" t="s">
        <v>425</v>
      </c>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row>
    <row r="84" spans="1:297" ht="60" customHeight="1" x14ac:dyDescent="0.25">
      <c r="A84" s="5" t="str">
        <f t="shared" si="13"/>
        <v xml:space="preserve">ECDC, (2026) </v>
      </c>
      <c r="B84" s="3" t="str">
        <f t="shared" si="14"/>
        <v>Communicable Disease Report - Ebola disease outbreak caused by Bundibugyo virus – Democratic Republic of the Congo and Uganda – 2026- Week 24, 6–12 June 2026</v>
      </c>
      <c r="C84" s="4" t="str">
        <f t="shared" si="15"/>
        <v>Other non-primary, Government report</v>
      </c>
      <c r="D84" s="4" t="str">
        <f t="shared" si="16"/>
        <v>Bundibugyo</v>
      </c>
      <c r="E84" s="4" t="str">
        <f t="shared" si="17"/>
        <v>Yes</v>
      </c>
      <c r="F84" s="4" t="str">
        <f t="shared" si="18"/>
        <v/>
      </c>
      <c r="G84" s="4" t="str">
        <f t="shared" si="19"/>
        <v/>
      </c>
      <c r="H84" s="4" t="str">
        <f t="shared" si="20"/>
        <v/>
      </c>
      <c r="I84" s="4" t="str">
        <f t="shared" si="21"/>
        <v/>
      </c>
      <c r="J84" s="5" t="str">
        <f t="shared" si="22"/>
        <v/>
      </c>
      <c r="K84" s="5" t="str">
        <f t="shared" si="23"/>
        <v/>
      </c>
      <c r="N84" s="2" t="str">
        <f t="shared" si="24"/>
        <v>https://www.ecdc.europa.eu/sites/default/files/documents/2026-WCP-0032%20Final.pdf</v>
      </c>
      <c r="O84" s="20">
        <v>277</v>
      </c>
      <c r="P84" s="20" t="s">
        <v>1364</v>
      </c>
      <c r="Q84" s="20" t="s">
        <v>731</v>
      </c>
      <c r="R84" s="2"/>
      <c r="S84" s="20" t="s">
        <v>732</v>
      </c>
      <c r="T84" s="20" t="s">
        <v>266</v>
      </c>
      <c r="U84" s="2"/>
      <c r="V84" s="20">
        <v>2</v>
      </c>
      <c r="W84" s="2"/>
      <c r="X84" s="20" t="s">
        <v>732</v>
      </c>
      <c r="Y84" s="2"/>
      <c r="Z84" s="20" t="s">
        <v>21</v>
      </c>
      <c r="AA84" s="2"/>
      <c r="AB84" s="2"/>
      <c r="AC84" s="2"/>
      <c r="AD84" s="20" t="s">
        <v>352</v>
      </c>
      <c r="AE84" s="2"/>
      <c r="AF84" s="20" t="s">
        <v>270</v>
      </c>
      <c r="AG84" s="2"/>
      <c r="AH84" s="2"/>
      <c r="AI84" s="20" t="s">
        <v>437</v>
      </c>
      <c r="AJ84" s="2"/>
      <c r="AK84" s="20" t="s">
        <v>449</v>
      </c>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row>
    <row r="85" spans="1:297" ht="60" customHeight="1" x14ac:dyDescent="0.25">
      <c r="A85" s="5" t="str">
        <f t="shared" si="13"/>
        <v xml:space="preserve">Health Emergency Alert and Response Operations (EOP), (2026) </v>
      </c>
      <c r="B85" s="3" t="str">
        <f t="shared" si="14"/>
        <v>WHO Rapid Risk Assessment-Ebola disease caused by Bundibugyo virus, Democratic Republic of the Congo, Uganda and countries with land borders adjoining countries with documented BDBV detection v3</v>
      </c>
      <c r="C85" s="4" t="str">
        <f t="shared" si="15"/>
        <v>Risk Assessment, Other grey literature report</v>
      </c>
      <c r="D85" s="4" t="str">
        <f t="shared" si="16"/>
        <v>Bundibugyo</v>
      </c>
      <c r="E85" s="4" t="str">
        <f t="shared" si="17"/>
        <v>Yes</v>
      </c>
      <c r="F85" s="4" t="str">
        <f t="shared" si="18"/>
        <v>The risk in the Democratic Republic of the Congo remains assessed as very high due to ongoing transmission and the continued expansion of the outbreak into new health zones, increasing the potential for further national and regional spread; the level of risk for Uganda is still assessed as High; the risk for countries with land borders adjoining countries with documented BDBV detection, is assessed as high. The level of risk for the rest of the Africa region and at the global level is assessed as low due to: a)  At present the outbreak remains geographically limited to the Democratic Republic of the Congo, with exportation of cases only to Uganda. b) No evidence suggests sustained international transmission of BVD beyond the Democratic Republic of the Congo and Uganda border areas currently.</v>
      </c>
      <c r="G85" s="4" t="str">
        <f t="shared" si="19"/>
        <v/>
      </c>
      <c r="H85" s="4" t="str">
        <f t="shared" si="20"/>
        <v/>
      </c>
      <c r="I85" s="4" t="str">
        <f t="shared" si="21"/>
        <v/>
      </c>
      <c r="J85" s="5" t="str">
        <f t="shared" si="22"/>
        <v/>
      </c>
      <c r="K85" s="5" t="str">
        <f t="shared" si="23"/>
        <v/>
      </c>
      <c r="N85" s="2" t="str">
        <f t="shared" si="24"/>
        <v>https://www.who.int/publications/m/item/who-rapid-risk-assessment-ebola-disease-caused-by-bundibugyo-virus--democratic-republic-of-the-congo--uganda-and-countries-with-land-borders-adjoining-countries-with-documented-bdbv-detection-v3</v>
      </c>
      <c r="O85" s="20">
        <v>278</v>
      </c>
      <c r="P85" s="20" t="s">
        <v>1376</v>
      </c>
      <c r="Q85" s="20" t="s">
        <v>733</v>
      </c>
      <c r="R85" s="2"/>
      <c r="S85" s="20" t="s">
        <v>734</v>
      </c>
      <c r="T85" s="20" t="s">
        <v>266</v>
      </c>
      <c r="U85" s="2"/>
      <c r="V85" s="20">
        <v>2</v>
      </c>
      <c r="W85" s="2"/>
      <c r="X85" s="20" t="s">
        <v>734</v>
      </c>
      <c r="Y85" s="2"/>
      <c r="Z85" s="20" t="s">
        <v>21</v>
      </c>
      <c r="AA85" s="2"/>
      <c r="AB85" s="2"/>
      <c r="AC85" s="2"/>
      <c r="AD85" s="20" t="s">
        <v>352</v>
      </c>
      <c r="AE85" s="2"/>
      <c r="AF85" s="20" t="s">
        <v>270</v>
      </c>
      <c r="AG85" s="2"/>
      <c r="AH85" s="2"/>
      <c r="AI85" s="20" t="s">
        <v>306</v>
      </c>
      <c r="AJ85" s="2"/>
      <c r="AK85" s="20" t="s">
        <v>85</v>
      </c>
      <c r="AL85" s="2"/>
      <c r="AM85" s="20" t="s">
        <v>735</v>
      </c>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row>
    <row r="86" spans="1:297" ht="60" customHeight="1" x14ac:dyDescent="0.25">
      <c r="A86" s="5" t="str">
        <f t="shared" si="13"/>
        <v>OmarMA, et al, (2026), New Microbes and New Infections</v>
      </c>
      <c r="B86" s="3" t="str">
        <f t="shared" si="14"/>
        <v>Bundibugyo Ebola in the Democratic Republic of the Congo and Uganda: A PHEIC in a countermeasure gap</v>
      </c>
      <c r="C86" s="4" t="str">
        <f t="shared" si="15"/>
        <v>Commentary, Peer-reviewed publication</v>
      </c>
      <c r="D86" s="4" t="str">
        <f t="shared" si="16"/>
        <v>Bundibugyo</v>
      </c>
      <c r="E86" s="4" t="str">
        <f t="shared" si="17"/>
        <v>Yes</v>
      </c>
      <c r="F86" s="4" t="str">
        <f t="shared" si="18"/>
        <v/>
      </c>
      <c r="G86" s="4" t="str">
        <f t="shared" si="19"/>
        <v/>
      </c>
      <c r="H86" s="4" t="str">
        <f t="shared" si="20"/>
        <v/>
      </c>
      <c r="I86" s="4" t="str">
        <f t="shared" si="21"/>
        <v/>
      </c>
      <c r="J86" s="5" t="str">
        <f t="shared" si="22"/>
        <v/>
      </c>
      <c r="K86" s="5" t="str">
        <f t="shared" si="23"/>
        <v/>
      </c>
      <c r="N86" s="2" t="str">
        <f t="shared" si="24"/>
        <v>https://doi.org/10.1016/j.nmni.2026.101783</v>
      </c>
      <c r="O86" s="20">
        <v>283</v>
      </c>
      <c r="P86" s="20" t="s">
        <v>736</v>
      </c>
      <c r="Q86" s="20" t="s">
        <v>737</v>
      </c>
      <c r="R86" s="20" t="s">
        <v>738</v>
      </c>
      <c r="S86" s="20" t="s">
        <v>739</v>
      </c>
      <c r="T86" s="20" t="s">
        <v>266</v>
      </c>
      <c r="U86" s="2"/>
      <c r="V86" s="20">
        <v>2</v>
      </c>
      <c r="W86" s="2"/>
      <c r="X86" s="20" t="s">
        <v>740</v>
      </c>
      <c r="Y86" s="2"/>
      <c r="Z86" s="20" t="s">
        <v>21</v>
      </c>
      <c r="AA86" s="2"/>
      <c r="AB86" s="2"/>
      <c r="AC86" s="2"/>
      <c r="AD86" s="20" t="s">
        <v>352</v>
      </c>
      <c r="AE86" s="2"/>
      <c r="AF86" s="20" t="s">
        <v>270</v>
      </c>
      <c r="AG86" s="2"/>
      <c r="AH86" s="2"/>
      <c r="AI86" s="20" t="s">
        <v>271</v>
      </c>
      <c r="AJ86" s="2"/>
      <c r="AK86" s="20" t="s">
        <v>425</v>
      </c>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row>
    <row r="87" spans="1:297" ht="60" customHeight="1" x14ac:dyDescent="0.25">
      <c r="A87" s="5" t="str">
        <f t="shared" si="13"/>
        <v>Kelchtermans, et al, (2026), bioRxiv</v>
      </c>
      <c r="B87" s="3" t="str">
        <f t="shared" si="14"/>
        <v>Cross-protection against Bundibugyo by Ebola and Sudan vaccines</v>
      </c>
      <c r="C87" s="4" t="str">
        <f t="shared" si="15"/>
        <v>Primary - article, Experimental, Preprint</v>
      </c>
      <c r="D87" s="4" t="str">
        <f t="shared" si="16"/>
        <v>Bundibugyo</v>
      </c>
      <c r="E87" s="4" t="str">
        <f t="shared" si="17"/>
        <v>No</v>
      </c>
      <c r="F87" s="4" t="str">
        <f t="shared" si="18"/>
        <v>A yellow fever 17D-vectored BDBV vaccine (YF-BDB) expressing the Bundibugyo virus (BDBV) glycoprotein (GP) as antigen conferred homologous protection in Ifnar−/− mice, preventing systemic viral dissemination and providing survival following surrogate BDBV challenge. Intriguingly, also vaccination with YF- EBO or YF-SUD protected mice from such BDBV surrogate challenge; while YF-BDB and YF-EBO fully protected against respective heterologous EBOV or BDBV infection, they conferred only partial protection against lethal challenge in a comparable Sudan virus (SUDV) model.</v>
      </c>
      <c r="G87" s="4" t="str">
        <f t="shared" si="19"/>
        <v>Vaccination immunity - efficacy/effectiveness; Vaccine immunity measures (Ab, titre, cytokines)</v>
      </c>
      <c r="H87" s="4" t="str">
        <f t="shared" si="20"/>
        <v>Animal - model of disease</v>
      </c>
      <c r="I87" s="4" t="str">
        <f t="shared" si="21"/>
        <v/>
      </c>
      <c r="J87" s="5" t="str">
        <f t="shared" si="22"/>
        <v>Vaccine immunity: . A yellow fever 17D-vectored BDBV vaccine (YF-BDB) expressing the BDBV glycoprotein (GP) as antigen conferred homologous protection in Ifnar−/− mice, preventing systemic viral dissemination and providing survival following surrogate BDBV challenge. Intriguingly, also vaccination with YF- EBO or YF-SUD protected mice from such BDBV surrogate challenge. Conversely, while YF-BDB and YF-EBO fully protected against respective heterologous EBOV or BDBV infection, they  conferred only partial protection against lethal challenge in a comparable SUDV model. Serological analyses revealed comparable titers of cross-reactive antibodies across all vaccine groups. However, neutralization, especially cross-neutralization, was limited suggesting a major role for non-neutralizing mechanisms in protection.</v>
      </c>
      <c r="K87" s="5" t="str">
        <f t="shared" si="23"/>
        <v>Authors developed a BDBV surrogate challenge model and evaluated cross-protective immunity conferred by a set of monovalent vaccine candidates representing all three Orthoebolavirus species (EBOV, SUDV ad BDBV) affecting humans.</v>
      </c>
      <c r="N87" s="2" t="str">
        <f t="shared" si="24"/>
        <v>https://doi.org/10.64898/2026.06.10.731377</v>
      </c>
      <c r="O87" s="20">
        <v>304</v>
      </c>
      <c r="P87" s="20" t="s">
        <v>741</v>
      </c>
      <c r="Q87" s="20" t="s">
        <v>742</v>
      </c>
      <c r="R87" s="20" t="s">
        <v>743</v>
      </c>
      <c r="S87" s="20" t="s">
        <v>744</v>
      </c>
      <c r="T87" s="20" t="s">
        <v>266</v>
      </c>
      <c r="U87" s="2"/>
      <c r="V87" s="20" t="s">
        <v>267</v>
      </c>
      <c r="W87" s="2"/>
      <c r="X87" s="20" t="s">
        <v>745</v>
      </c>
      <c r="Y87" s="2"/>
      <c r="Z87" s="20" t="s">
        <v>21</v>
      </c>
      <c r="AA87" s="2"/>
      <c r="AB87" s="2"/>
      <c r="AC87" s="2"/>
      <c r="AD87" s="20" t="s">
        <v>269</v>
      </c>
      <c r="AE87" s="2"/>
      <c r="AF87" s="20" t="s">
        <v>270</v>
      </c>
      <c r="AG87" s="2"/>
      <c r="AH87" s="2"/>
      <c r="AI87" s="20" t="s">
        <v>353</v>
      </c>
      <c r="AJ87" s="2"/>
      <c r="AK87" s="20" t="s">
        <v>272</v>
      </c>
      <c r="AL87" s="2"/>
      <c r="AM87" s="2"/>
      <c r="AN87" s="2"/>
      <c r="AO87" s="2"/>
      <c r="AP87" s="20" t="s">
        <v>746</v>
      </c>
      <c r="AQ87" s="2"/>
      <c r="AR87" s="2"/>
      <c r="AS87" s="2"/>
      <c r="AT87" s="2"/>
      <c r="AU87" s="2"/>
      <c r="AV87" s="2"/>
      <c r="AW87" s="2"/>
      <c r="AX87" s="2"/>
      <c r="AY87" s="2"/>
      <c r="AZ87" s="2"/>
      <c r="BA87" s="2"/>
      <c r="BB87" s="2"/>
      <c r="BC87" s="2"/>
      <c r="BD87" s="2"/>
      <c r="BE87" s="2"/>
      <c r="BF87" s="2"/>
      <c r="BG87" s="2"/>
      <c r="BH87" s="2"/>
      <c r="BI87" s="2"/>
      <c r="BJ87" s="2"/>
      <c r="BK87" s="2"/>
      <c r="BL87" s="2"/>
      <c r="BM87" s="2"/>
      <c r="BN87" s="20" t="s">
        <v>59</v>
      </c>
      <c r="BO87" s="2"/>
      <c r="BP87" s="2"/>
      <c r="BQ87" s="2"/>
      <c r="BR87" s="2"/>
      <c r="BS87" s="2"/>
      <c r="BT87" s="2"/>
      <c r="BU87" s="2"/>
      <c r="BV87" s="2"/>
      <c r="BW87" s="2"/>
      <c r="BX87" s="2"/>
      <c r="BY87" s="2"/>
      <c r="BZ87" s="2"/>
      <c r="CA87" s="2"/>
      <c r="CB87" s="2"/>
      <c r="CC87" s="2"/>
      <c r="CD87" s="2"/>
      <c r="CE87" s="2"/>
      <c r="CF87" s="2"/>
      <c r="CG87" s="2"/>
      <c r="CH87" s="20" t="s">
        <v>79</v>
      </c>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0" t="s">
        <v>73</v>
      </c>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0" t="s">
        <v>73</v>
      </c>
      <c r="EW87" s="2"/>
      <c r="EX87" s="2"/>
      <c r="EY87" s="2"/>
      <c r="EZ87" s="2"/>
      <c r="FA87" s="2"/>
      <c r="FB87" s="2"/>
      <c r="FC87" s="2"/>
      <c r="FD87" s="2"/>
      <c r="FE87" s="2"/>
      <c r="FF87" s="2"/>
      <c r="FG87" s="2"/>
      <c r="FH87" s="2"/>
      <c r="FI87" s="2"/>
      <c r="FJ87" s="2"/>
      <c r="FK87" s="2"/>
      <c r="FL87" s="2"/>
      <c r="FM87" s="2"/>
      <c r="FN87" s="2"/>
      <c r="FO87" s="2"/>
      <c r="FP87" s="2"/>
      <c r="FQ87" s="2"/>
      <c r="FR87" s="20" t="s">
        <v>73</v>
      </c>
      <c r="FS87" s="2"/>
      <c r="FT87" s="2"/>
      <c r="FU87" s="2"/>
      <c r="FV87" s="20" t="s">
        <v>163</v>
      </c>
      <c r="FW87" s="2"/>
      <c r="FX87" s="2"/>
      <c r="FY87" s="2"/>
      <c r="FZ87" s="2"/>
      <c r="GA87" s="2"/>
      <c r="GB87" s="20" t="s">
        <v>169</v>
      </c>
      <c r="GC87" s="2"/>
      <c r="GD87" s="2"/>
      <c r="GE87" s="2"/>
      <c r="GF87" s="2"/>
      <c r="GG87" s="2"/>
      <c r="GH87" s="2"/>
      <c r="GI87" s="2"/>
      <c r="GJ87" s="2"/>
      <c r="GK87" s="2"/>
      <c r="GL87" s="2"/>
      <c r="GM87" s="2"/>
      <c r="GN87" s="2"/>
      <c r="GO87" s="2"/>
      <c r="GP87" s="20" t="s">
        <v>73</v>
      </c>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0" t="s">
        <v>73</v>
      </c>
      <c r="HS87" s="2"/>
      <c r="HT87" s="2"/>
      <c r="HU87" s="2"/>
      <c r="HV87" s="2"/>
      <c r="HW87" s="2"/>
      <c r="HX87" s="2"/>
      <c r="HY87" s="2"/>
      <c r="HZ87" s="2"/>
      <c r="IA87" s="2"/>
      <c r="IB87" s="20" t="s">
        <v>73</v>
      </c>
      <c r="IC87" s="2"/>
      <c r="ID87" s="2"/>
      <c r="IE87" s="2"/>
      <c r="IF87" s="2"/>
      <c r="IG87" s="2"/>
      <c r="IH87" s="2"/>
      <c r="II87" s="2"/>
      <c r="IJ87" s="20" t="s">
        <v>73</v>
      </c>
      <c r="IK87" s="2"/>
      <c r="IL87" s="2"/>
      <c r="IM87" s="2"/>
      <c r="IN87" s="2"/>
      <c r="IO87" s="2"/>
      <c r="IP87" s="2"/>
      <c r="IQ87" s="2"/>
      <c r="IR87" s="2"/>
      <c r="IS87" s="2"/>
      <c r="IT87" s="20" t="s">
        <v>73</v>
      </c>
      <c r="IU87" s="2"/>
      <c r="IV87" s="2"/>
      <c r="IW87" s="2"/>
      <c r="IX87" s="20" t="s">
        <v>73</v>
      </c>
      <c r="IY87" s="2"/>
      <c r="IZ87" s="2"/>
      <c r="JA87" s="2"/>
      <c r="JB87" s="20" t="s">
        <v>73</v>
      </c>
      <c r="JC87" s="2"/>
      <c r="JD87" s="2"/>
      <c r="JE87" s="2"/>
      <c r="JF87" s="20" t="s">
        <v>73</v>
      </c>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0" t="s">
        <v>73</v>
      </c>
      <c r="KG87" s="2"/>
      <c r="KH87" s="20" t="s">
        <v>747</v>
      </c>
      <c r="KI87" s="2"/>
      <c r="KJ87" s="20" t="s">
        <v>748</v>
      </c>
      <c r="KK87" s="2"/>
    </row>
    <row r="88" spans="1:297" ht="60" customHeight="1" x14ac:dyDescent="0.25">
      <c r="A88" s="5" t="str">
        <f t="shared" si="13"/>
        <v>Quilty, et al, (2026), medRxiv</v>
      </c>
      <c r="B88" s="3" t="str">
        <f t="shared" si="14"/>
        <v>Estimating the effectiveness of syndromic screening at airports for Bundibugyo ebolavirus disease</v>
      </c>
      <c r="C88" s="4" t="str">
        <f t="shared" si="15"/>
        <v>Primary - article, Modeling, Preprint</v>
      </c>
      <c r="D88" s="4" t="str">
        <f t="shared" si="16"/>
        <v>Bundibugyo</v>
      </c>
      <c r="E88" s="4" t="str">
        <f t="shared" si="17"/>
        <v>Yes</v>
      </c>
      <c r="F88" s="4" t="str">
        <f t="shared" si="18"/>
        <v>For a 12-hour international flight from DRC or Uganda at 86% screening sensitivity, the authors estimated 65% of infected travellers would arrive undetected (95% CrI: 38–76%). The main driver of this outcome is the relative duration of the the incubation period (approximately 7.7 days) and the onset-to-severe-disease interval (approximately 4 days): most infected travellers board before symptom onset and are undetectable by any syndromic screen, whilst those who are symptomatic progress rapidly to illness severe enough to preclude travel.</v>
      </c>
      <c r="G88" s="4" t="str">
        <f t="shared" si="19"/>
        <v>Border measure - PHM</v>
      </c>
      <c r="H88" s="4" t="str">
        <f t="shared" si="20"/>
        <v>Human - General population</v>
      </c>
      <c r="I88" s="4" t="str">
        <f t="shared" si="21"/>
        <v/>
      </c>
      <c r="J88" s="5" t="str">
        <f t="shared" si="22"/>
        <v>Public Health Measures - Border measures: At 86% sensitivity on a 12-hour international flight, combined syndromic exit and entry screening will fail to detect approximately 65% of infected travellers (95% CrI: 38–76%). The relatively short onset-to-severe-disease interval (mean approximately four days) means that symptomatic travellers progress to detectable illness quickly, yet the incubation period (approximately 7.7 days) means that most infected travellers will board before symptom onset. Exit syndromic screening sensitivity has a larger marginal effect on the undetected fraction than entry screening sensitivity, because it acts on a larger at-risk window: any traveller already symptomatic at departure can be caught at exit, whereas entry screening only adds value for those who become symptomatic during the flight or who were missed due to imperfect screening at exit. When exit screening is absent entirely (sensitivity 0%) but entry screening is maintained at 86%, 67% of travellers remain undetected, compared with 73% when entry screening is absent and exit is maintained at 86%. This asymmetry reflects the longer opportunity for symptom detection that the pre-flight period provides relative to the flight itself.</v>
      </c>
      <c r="K88" s="5" t="str">
        <f t="shared" si="23"/>
        <v>Authors used a stochastic individual-based simulation model to evaluate the probability that a Bundibugyo ebolavirus disease (BVD) infected traveller would be detected at (i) exit screening before departure, (ii) as severely ill during the flight, (iii) at entry screening on arrival, or (iv) remain undetected throughout, using natural-history parameters from a Bayesian re-analysis of the 2012 Isiro outbreak.  Natural-history parameters (incubation period, onset-to-severe-disease delay) are derived from the 2007 Uganda and 2012 DRC BVD outbreaks. The epidemic doubling time range used in the growth-phase sensitivity analysis is estimated from the current outbreak.</v>
      </c>
      <c r="N88" s="2" t="str">
        <f t="shared" si="24"/>
        <v>https://doi.org/10.64898/2026.06.11.26355442</v>
      </c>
      <c r="O88" s="20">
        <v>305</v>
      </c>
      <c r="P88" s="20" t="s">
        <v>749</v>
      </c>
      <c r="Q88" s="20" t="s">
        <v>750</v>
      </c>
      <c r="R88" s="20" t="s">
        <v>751</v>
      </c>
      <c r="S88" s="20" t="s">
        <v>752</v>
      </c>
      <c r="T88" s="20" t="s">
        <v>266</v>
      </c>
      <c r="U88" s="2"/>
      <c r="V88" s="20" t="s">
        <v>267</v>
      </c>
      <c r="W88" s="2"/>
      <c r="X88" s="20" t="s">
        <v>753</v>
      </c>
      <c r="Y88" s="2"/>
      <c r="Z88" s="20" t="s">
        <v>21</v>
      </c>
      <c r="AA88" s="2"/>
      <c r="AB88" s="2"/>
      <c r="AC88" s="2"/>
      <c r="AD88" s="20" t="s">
        <v>352</v>
      </c>
      <c r="AE88" s="2"/>
      <c r="AF88" s="20" t="s">
        <v>270</v>
      </c>
      <c r="AG88" s="2"/>
      <c r="AH88" s="2"/>
      <c r="AI88" s="20" t="s">
        <v>353</v>
      </c>
      <c r="AJ88" s="2"/>
      <c r="AK88" s="20" t="s">
        <v>272</v>
      </c>
      <c r="AL88" s="2"/>
      <c r="AM88" s="2"/>
      <c r="AN88" s="2"/>
      <c r="AO88" s="2"/>
      <c r="AP88" s="20" t="s">
        <v>754</v>
      </c>
      <c r="AQ88" s="2"/>
      <c r="AR88" s="20" t="s">
        <v>37</v>
      </c>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0" t="s">
        <v>83</v>
      </c>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0" t="s">
        <v>73</v>
      </c>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0" t="s">
        <v>73</v>
      </c>
      <c r="EW88" s="2"/>
      <c r="EX88" s="2"/>
      <c r="EY88" s="2"/>
      <c r="EZ88" s="2"/>
      <c r="FA88" s="2"/>
      <c r="FB88" s="2"/>
      <c r="FC88" s="2"/>
      <c r="FD88" s="2"/>
      <c r="FE88" s="2"/>
      <c r="FF88" s="2"/>
      <c r="FG88" s="2"/>
      <c r="FH88" s="2"/>
      <c r="FI88" s="2"/>
      <c r="FJ88" s="2"/>
      <c r="FK88" s="2"/>
      <c r="FL88" s="2"/>
      <c r="FM88" s="2"/>
      <c r="FN88" s="2"/>
      <c r="FO88" s="2"/>
      <c r="FP88" s="2"/>
      <c r="FQ88" s="2"/>
      <c r="FR88" s="20" t="s">
        <v>73</v>
      </c>
      <c r="FS88" s="2"/>
      <c r="FT88" s="2"/>
      <c r="FU88" s="2"/>
      <c r="FV88" s="2"/>
      <c r="FW88" s="2"/>
      <c r="FX88" s="2"/>
      <c r="FY88" s="2"/>
      <c r="FZ88" s="2"/>
      <c r="GA88" s="2"/>
      <c r="GB88" s="2"/>
      <c r="GC88" s="2"/>
      <c r="GD88" s="2"/>
      <c r="GE88" s="2"/>
      <c r="GF88" s="20" t="s">
        <v>73</v>
      </c>
      <c r="GG88" s="2"/>
      <c r="GH88" s="2"/>
      <c r="GI88" s="2"/>
      <c r="GJ88" s="2"/>
      <c r="GK88" s="2"/>
      <c r="GL88" s="2"/>
      <c r="GM88" s="2"/>
      <c r="GN88" s="2"/>
      <c r="GO88" s="2"/>
      <c r="GP88" s="20" t="s">
        <v>73</v>
      </c>
      <c r="GQ88" s="2"/>
      <c r="GR88" s="2"/>
      <c r="GS88" s="2"/>
      <c r="GT88" s="2"/>
      <c r="GU88" s="2"/>
      <c r="GV88" s="2"/>
      <c r="GW88" s="2"/>
      <c r="GX88" s="2"/>
      <c r="GY88" s="2"/>
      <c r="GZ88" s="20" t="s">
        <v>189</v>
      </c>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0" t="s">
        <v>73</v>
      </c>
      <c r="IC88" s="2"/>
      <c r="ID88" s="2"/>
      <c r="IE88" s="2"/>
      <c r="IF88" s="2"/>
      <c r="IG88" s="2"/>
      <c r="IH88" s="2"/>
      <c r="II88" s="2"/>
      <c r="IJ88" s="20" t="s">
        <v>73</v>
      </c>
      <c r="IK88" s="2"/>
      <c r="IL88" s="2"/>
      <c r="IM88" s="2"/>
      <c r="IN88" s="2"/>
      <c r="IO88" s="2"/>
      <c r="IP88" s="2"/>
      <c r="IQ88" s="2"/>
      <c r="IR88" s="2"/>
      <c r="IS88" s="2"/>
      <c r="IT88" s="20" t="s">
        <v>73</v>
      </c>
      <c r="IU88" s="2"/>
      <c r="IV88" s="2"/>
      <c r="IW88" s="2"/>
      <c r="IX88" s="20" t="s">
        <v>73</v>
      </c>
      <c r="IY88" s="2"/>
      <c r="IZ88" s="2"/>
      <c r="JA88" s="2"/>
      <c r="JB88" s="20" t="s">
        <v>73</v>
      </c>
      <c r="JC88" s="2"/>
      <c r="JD88" s="2"/>
      <c r="JE88" s="2"/>
      <c r="JF88" s="20" t="s">
        <v>73</v>
      </c>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0" t="s">
        <v>73</v>
      </c>
      <c r="KG88" s="2"/>
      <c r="KH88" s="20" t="s">
        <v>755</v>
      </c>
      <c r="KI88" s="2"/>
      <c r="KJ88" s="20" t="s">
        <v>756</v>
      </c>
      <c r="KK88" s="2"/>
    </row>
    <row r="89" spans="1:297" ht="60" customHeight="1" x14ac:dyDescent="0.25">
      <c r="A89" s="5" t="str">
        <f t="shared" si="13"/>
        <v xml:space="preserve">ECDC, (2026) </v>
      </c>
      <c r="B89" s="3" t="str">
        <f t="shared" si="14"/>
        <v>Estimation of the importation risk of Bundibugyo virus into the EU/EEA in June 2026</v>
      </c>
      <c r="C89" s="4" t="str">
        <f t="shared" si="15"/>
        <v>Primary - article, Modeling, Government report</v>
      </c>
      <c r="D89" s="4" t="str">
        <f t="shared" si="16"/>
        <v>Bundibugyo</v>
      </c>
      <c r="E89" s="4" t="str">
        <f t="shared" si="17"/>
        <v>Yes</v>
      </c>
      <c r="F89" s="4" t="str">
        <f t="shared" si="18"/>
        <v>Based on mathematical modelling, the authors estimate approximately one importation of  Bundibugyo virus (BDBV) per 24 000 travellers (90% Uncertainty Interval, UI: 13 000–54 000) from the main outbreak region (North Kivu and Ituri, DRC) to the EU/EEA.  The authors also estimate the probability of at least one BDBV importation into the EU/EEA from 11–25 June 2026 to be 0.45% (90% UI: 0.20%–0.85%), under the hypothetical assumption that 100 people travel from the outbreak region to the EU/EEA during this period.</v>
      </c>
      <c r="G89" s="4" t="str">
        <f t="shared" si="19"/>
        <v>Size or Duration estimate</v>
      </c>
      <c r="H89" s="4" t="str">
        <f t="shared" si="20"/>
        <v>Human - General population</v>
      </c>
      <c r="I89" s="4" t="str">
        <f t="shared" si="21"/>
        <v/>
      </c>
      <c r="J89" s="5" t="str">
        <f t="shared" si="22"/>
        <v>Epidemiological Parameter - Estimates of outbreak size or duration: While sporadic BDBV importations into the EU/EEA cannot be ruled out, mathematical modelling suggests that the probability of importation from 11 to 25 June is very low. These results apply to importation of BDBV from the general population of Ituri and North Kivu. Humanitarian aid workers or healthcare care personnel returning from the outbreak region to the EU/EEA, who the authors assume would be medically evacuated from the affected areas with application of appropriate infection prevention and control measures, need to be considered separately. As one BDBV importation is expected per 24 000 travellers from the outbreak region, the vast majority of travellers will not be infected. However, since early symptoms of BDBV infections overlap with many other conditions, a potentially large number of travellers will show similar symptoms as BDBV infections without being infected with BDBV (i.e. false positives).</v>
      </c>
      <c r="K89" s="5" t="str">
        <f t="shared" si="23"/>
        <v>The authors used a two-step approach to estimate the risk of importation of BDBV into the EU/EEA. First, they developed a compartmental model for the BDBV transmission. The model concentrates in the Ituri and North Kivu provinces in DRC, where most BDBV infections have been reported from. The study period was defined as 11–25 June 2026. The estimated population size of the outbreak region is 𝑁 = 13,392,200. The mathematical model in the first step partitions the population of the outbreak region into six compartments or disease states: those not infected (susceptible); those who are exposed, which we defined as those who are infected but not yet infectious (latently infected); those who are infectious and will recover; those who are infectious and will die; those who recovered; and the deceased. In the second step, the authors build on the output of the mathematical model to estimate the probability of at least one BDBV importation into the EU/EEA.</v>
      </c>
      <c r="N89" s="2" t="str">
        <f t="shared" si="24"/>
        <v>https://www.ecdc.europa.eu/en/publications-data/estimation-importation-risk-bundibugyo-virus-eueea-june-2026</v>
      </c>
      <c r="O89" s="20">
        <v>306</v>
      </c>
      <c r="P89" s="20" t="s">
        <v>1364</v>
      </c>
      <c r="Q89" s="20" t="s">
        <v>757</v>
      </c>
      <c r="R89" s="2"/>
      <c r="S89" s="20" t="s">
        <v>758</v>
      </c>
      <c r="T89" s="20" t="s">
        <v>266</v>
      </c>
      <c r="U89" s="2"/>
      <c r="V89" s="20" t="s">
        <v>267</v>
      </c>
      <c r="W89" s="2"/>
      <c r="X89" s="20" t="s">
        <v>758</v>
      </c>
      <c r="Y89" s="2"/>
      <c r="Z89" s="20" t="s">
        <v>21</v>
      </c>
      <c r="AA89" s="2"/>
      <c r="AB89" s="2"/>
      <c r="AC89" s="2"/>
      <c r="AD89" s="20" t="s">
        <v>352</v>
      </c>
      <c r="AE89" s="2"/>
      <c r="AF89" s="20" t="s">
        <v>270</v>
      </c>
      <c r="AG89" s="2"/>
      <c r="AH89" s="2"/>
      <c r="AI89" s="20" t="s">
        <v>437</v>
      </c>
      <c r="AJ89" s="2"/>
      <c r="AK89" s="20" t="s">
        <v>272</v>
      </c>
      <c r="AL89" s="2"/>
      <c r="AM89" s="2"/>
      <c r="AN89" s="2"/>
      <c r="AO89" s="2"/>
      <c r="AP89" s="20" t="s">
        <v>759</v>
      </c>
      <c r="AQ89" s="2"/>
      <c r="AR89" s="20" t="s">
        <v>37</v>
      </c>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0" t="s">
        <v>83</v>
      </c>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0" t="s">
        <v>73</v>
      </c>
      <c r="DW89" s="2"/>
      <c r="DX89" s="2"/>
      <c r="DY89" s="2"/>
      <c r="DZ89" s="2"/>
      <c r="EA89" s="2"/>
      <c r="EB89" s="2"/>
      <c r="EC89" s="2"/>
      <c r="ED89" s="2"/>
      <c r="EE89" s="2"/>
      <c r="EF89" s="2"/>
      <c r="EG89" s="2"/>
      <c r="EH89" s="2"/>
      <c r="EI89" s="2"/>
      <c r="EJ89" s="2"/>
      <c r="EK89" s="2"/>
      <c r="EL89" s="2"/>
      <c r="EM89" s="2"/>
      <c r="EN89" s="2"/>
      <c r="EO89" s="2"/>
      <c r="EP89" s="20" t="s">
        <v>135</v>
      </c>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0" t="s">
        <v>73</v>
      </c>
      <c r="FS89" s="2"/>
      <c r="FT89" s="2"/>
      <c r="FU89" s="2"/>
      <c r="FV89" s="2"/>
      <c r="FW89" s="2"/>
      <c r="FX89" s="2"/>
      <c r="FY89" s="2"/>
      <c r="FZ89" s="2"/>
      <c r="GA89" s="2"/>
      <c r="GB89" s="2"/>
      <c r="GC89" s="2"/>
      <c r="GD89" s="2"/>
      <c r="GE89" s="2"/>
      <c r="GF89" s="20" t="s">
        <v>73</v>
      </c>
      <c r="GG89" s="2"/>
      <c r="GH89" s="2"/>
      <c r="GI89" s="2"/>
      <c r="GJ89" s="2"/>
      <c r="GK89" s="2"/>
      <c r="GL89" s="2"/>
      <c r="GM89" s="2"/>
      <c r="GN89" s="2"/>
      <c r="GO89" s="2"/>
      <c r="GP89" s="20" t="s">
        <v>73</v>
      </c>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0" t="s">
        <v>73</v>
      </c>
      <c r="HS89" s="2"/>
      <c r="HT89" s="2"/>
      <c r="HU89" s="2"/>
      <c r="HV89" s="2"/>
      <c r="HW89" s="2"/>
      <c r="HX89" s="2"/>
      <c r="HY89" s="2"/>
      <c r="HZ89" s="2"/>
      <c r="IA89" s="2"/>
      <c r="IB89" s="20" t="s">
        <v>73</v>
      </c>
      <c r="IC89" s="2"/>
      <c r="ID89" s="2"/>
      <c r="IE89" s="2"/>
      <c r="IF89" s="2"/>
      <c r="IG89" s="2"/>
      <c r="IH89" s="2"/>
      <c r="II89" s="2"/>
      <c r="IJ89" s="20" t="s">
        <v>73</v>
      </c>
      <c r="IK89" s="2"/>
      <c r="IL89" s="2"/>
      <c r="IM89" s="2"/>
      <c r="IN89" s="2"/>
      <c r="IO89" s="2"/>
      <c r="IP89" s="2"/>
      <c r="IQ89" s="2"/>
      <c r="IR89" s="2"/>
      <c r="IS89" s="2"/>
      <c r="IT89" s="20" t="s">
        <v>73</v>
      </c>
      <c r="IU89" s="2"/>
      <c r="IV89" s="2"/>
      <c r="IW89" s="2"/>
      <c r="IX89" s="20" t="s">
        <v>73</v>
      </c>
      <c r="IY89" s="2"/>
      <c r="IZ89" s="2"/>
      <c r="JA89" s="2"/>
      <c r="JB89" s="20" t="s">
        <v>73</v>
      </c>
      <c r="JC89" s="2"/>
      <c r="JD89" s="2"/>
      <c r="JE89" s="2"/>
      <c r="JF89" s="20" t="s">
        <v>73</v>
      </c>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0" t="s">
        <v>73</v>
      </c>
      <c r="KG89" s="2"/>
      <c r="KH89" s="20" t="s">
        <v>760</v>
      </c>
      <c r="KI89" s="2"/>
      <c r="KJ89" s="20" t="s">
        <v>761</v>
      </c>
      <c r="KK89" s="2"/>
    </row>
    <row r="90" spans="1:297" ht="60" customHeight="1" x14ac:dyDescent="0.25">
      <c r="A90" s="5" t="str">
        <f t="shared" si="13"/>
        <v xml:space="preserve">ECDC, (2026) </v>
      </c>
      <c r="B90" s="3" t="str">
        <f t="shared" si="14"/>
        <v>Risk classification and contact tracing of travellers returning from affected areas – Ebola disease outbreak 2026 caused by Bundibugyo virus</v>
      </c>
      <c r="C90" s="4" t="str">
        <f t="shared" si="15"/>
        <v>Guideline, Government report</v>
      </c>
      <c r="D90" s="4" t="str">
        <f t="shared" si="16"/>
        <v>Bundibugyo</v>
      </c>
      <c r="E90" s="4" t="str">
        <f t="shared" si="17"/>
        <v>Yes</v>
      </c>
      <c r="F90" s="4" t="str">
        <f t="shared" si="18"/>
        <v>The table and accompanying algorithm provide guidance for EU/EEA public health authorities, decision-makers, and healthcare professionals on risk categorisation and management of individuals potentially exposed to Ebola disease. The guidance applies to contacts of confirmed or probable cases following travel to, residence in, or work in Ebola outbreak-affected areas, as well as to occupational exposures. As long as an outbreak is ongoing, individuals arriving from affected regions may develop Ebola disease after entering non-affected countries, therefore, minimising transmission relies on rapid case detection and isolation, effective contact tracing, and strict infection prevention and control (IPC) measures.</v>
      </c>
      <c r="G90" s="4" t="str">
        <f t="shared" si="19"/>
        <v/>
      </c>
      <c r="H90" s="4" t="str">
        <f t="shared" si="20"/>
        <v/>
      </c>
      <c r="I90" s="4" t="str">
        <f t="shared" si="21"/>
        <v/>
      </c>
      <c r="J90" s="5" t="str">
        <f t="shared" si="22"/>
        <v/>
      </c>
      <c r="K90" s="5" t="str">
        <f t="shared" si="23"/>
        <v/>
      </c>
      <c r="N90" s="2" t="str">
        <f t="shared" si="24"/>
        <v>https://www.ecdc.europa.eu/en/publications-data/risk-classification-and-contact-tracing-travellers-returning-affected-areas-ebola</v>
      </c>
      <c r="O90" s="20">
        <v>307</v>
      </c>
      <c r="P90" s="20" t="s">
        <v>1364</v>
      </c>
      <c r="Q90" s="20" t="s">
        <v>762</v>
      </c>
      <c r="R90" s="2"/>
      <c r="S90" s="20" t="s">
        <v>763</v>
      </c>
      <c r="T90" s="20" t="s">
        <v>266</v>
      </c>
      <c r="U90" s="2"/>
      <c r="V90" s="20">
        <v>2</v>
      </c>
      <c r="W90" s="2"/>
      <c r="X90" s="20" t="s">
        <v>763</v>
      </c>
      <c r="Y90" s="2"/>
      <c r="Z90" s="20" t="s">
        <v>21</v>
      </c>
      <c r="AA90" s="2"/>
      <c r="AB90" s="2"/>
      <c r="AC90" s="2"/>
      <c r="AD90" s="20" t="s">
        <v>352</v>
      </c>
      <c r="AE90" s="2"/>
      <c r="AF90" s="20" t="s">
        <v>270</v>
      </c>
      <c r="AG90" s="2"/>
      <c r="AH90" s="2"/>
      <c r="AI90" s="20" t="s">
        <v>437</v>
      </c>
      <c r="AJ90" s="2"/>
      <c r="AK90" s="20" t="s">
        <v>438</v>
      </c>
      <c r="AL90" s="2"/>
      <c r="AM90" s="20" t="s">
        <v>764</v>
      </c>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row>
    <row r="91" spans="1:297" ht="60" customHeight="1" x14ac:dyDescent="0.25">
      <c r="A91" s="5" t="str">
        <f t="shared" si="13"/>
        <v xml:space="preserve">Public Health Ontario, (2026) </v>
      </c>
      <c r="B91" s="3" t="str">
        <f t="shared" si="14"/>
        <v>Clinical Laboratory Biosafety Measures in Viral Hemorrhagic Fever Investigations</v>
      </c>
      <c r="C91" s="4" t="str">
        <f t="shared" si="15"/>
        <v>Guideline, Government report</v>
      </c>
      <c r="D91" s="4" t="str">
        <f t="shared" si="16"/>
        <v>Bundibugyo</v>
      </c>
      <c r="E91" s="4" t="str">
        <f t="shared" si="17"/>
        <v>No</v>
      </c>
      <c r="F91" s="4" t="str">
        <f t="shared" si="18"/>
        <v>This document provides biosafety guidance for clinical laboratories handling specimens from patients under investigation for viral hemorrhagic fever (VHF), including disease caused by risk group 4 viruses such as orthoebolaviruses (e.g., Bundibugyo virus). Its purpose is to support timely clinical testing needed for patient assessment and care, while minimizing risk to laboratory personnel and limiting unnecessary disruptions to laboratory operations. This guidance is intended to inform local risk assessments and operational decisions in diagnostic clinical laboratory settings.</v>
      </c>
      <c r="G91" s="4" t="str">
        <f t="shared" si="19"/>
        <v/>
      </c>
      <c r="H91" s="4" t="str">
        <f t="shared" si="20"/>
        <v/>
      </c>
      <c r="I91" s="4" t="str">
        <f t="shared" si="21"/>
        <v/>
      </c>
      <c r="J91" s="5" t="str">
        <f t="shared" si="22"/>
        <v/>
      </c>
      <c r="K91" s="5" t="str">
        <f t="shared" si="23"/>
        <v/>
      </c>
      <c r="N91" s="2" t="str">
        <f t="shared" si="24"/>
        <v>https://www.publichealthontario.ca/-/media/Documents/Lab/vhf-investigations-clinical-laboratory-biosafety-measures.pdf?rev=df9943dbd6d84d7bb812cf7d4fbf7e3c&amp;sc_lang=en</v>
      </c>
      <c r="O91" s="20">
        <v>308</v>
      </c>
      <c r="P91" s="20" t="s">
        <v>1369</v>
      </c>
      <c r="Q91" s="20" t="s">
        <v>765</v>
      </c>
      <c r="R91" s="2"/>
      <c r="S91" s="20" t="s">
        <v>766</v>
      </c>
      <c r="T91" s="20" t="s">
        <v>266</v>
      </c>
      <c r="U91" s="2"/>
      <c r="V91" s="20">
        <v>2</v>
      </c>
      <c r="W91" s="2"/>
      <c r="X91" s="20" t="s">
        <v>766</v>
      </c>
      <c r="Y91" s="2"/>
      <c r="Z91" s="20" t="s">
        <v>21</v>
      </c>
      <c r="AA91" s="2"/>
      <c r="AB91" s="2"/>
      <c r="AC91" s="2"/>
      <c r="AD91" s="20" t="s">
        <v>269</v>
      </c>
      <c r="AE91" s="2"/>
      <c r="AF91" s="20" t="s">
        <v>270</v>
      </c>
      <c r="AG91" s="2"/>
      <c r="AH91" s="2"/>
      <c r="AI91" s="20" t="s">
        <v>437</v>
      </c>
      <c r="AJ91" s="2"/>
      <c r="AK91" s="20" t="s">
        <v>438</v>
      </c>
      <c r="AL91" s="2"/>
      <c r="AM91" s="20" t="s">
        <v>767</v>
      </c>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row>
    <row r="92" spans="1:297" ht="60" customHeight="1" x14ac:dyDescent="0.25">
      <c r="A92" s="5" t="str">
        <f t="shared" si="13"/>
        <v xml:space="preserve">Public Health Ontario, (2026) </v>
      </c>
      <c r="B92" s="3" t="str">
        <f t="shared" si="14"/>
        <v>Viral Hemorrhagic Fever (VHF)  Clinical Risk Assessment Tool</v>
      </c>
      <c r="C92" s="4" t="str">
        <f t="shared" si="15"/>
        <v>Other non-primary, Government report</v>
      </c>
      <c r="D92" s="4" t="str">
        <f t="shared" si="16"/>
        <v>Bundibugyo</v>
      </c>
      <c r="E92" s="4" t="str">
        <f t="shared" si="17"/>
        <v>No</v>
      </c>
      <c r="F92" s="4" t="str">
        <f t="shared" si="18"/>
        <v/>
      </c>
      <c r="G92" s="4" t="str">
        <f t="shared" si="19"/>
        <v/>
      </c>
      <c r="H92" s="4" t="str">
        <f t="shared" si="20"/>
        <v/>
      </c>
      <c r="I92" s="4" t="str">
        <f t="shared" si="21"/>
        <v/>
      </c>
      <c r="J92" s="5" t="str">
        <f t="shared" si="22"/>
        <v/>
      </c>
      <c r="K92" s="5" t="str">
        <f t="shared" si="23"/>
        <v/>
      </c>
      <c r="N92" s="2" t="str">
        <f t="shared" si="24"/>
        <v>https://www.publichealthontario.ca/-/media/Documents/V/25/vhf-risk-assessment-checklist.pdf?rev=1932ed8d33694a8898e3826a910d231c&amp;sc_lang=en</v>
      </c>
      <c r="O92" s="20">
        <v>309</v>
      </c>
      <c r="P92" s="20" t="s">
        <v>1369</v>
      </c>
      <c r="Q92" s="20" t="s">
        <v>768</v>
      </c>
      <c r="R92" s="2"/>
      <c r="S92" s="20" t="s">
        <v>769</v>
      </c>
      <c r="T92" s="20" t="s">
        <v>266</v>
      </c>
      <c r="U92" s="2"/>
      <c r="V92" s="20">
        <v>2</v>
      </c>
      <c r="W92" s="2"/>
      <c r="X92" s="20" t="s">
        <v>769</v>
      </c>
      <c r="Y92" s="2"/>
      <c r="Z92" s="20" t="s">
        <v>21</v>
      </c>
      <c r="AA92" s="2"/>
      <c r="AB92" s="2"/>
      <c r="AC92" s="2"/>
      <c r="AD92" s="20" t="s">
        <v>269</v>
      </c>
      <c r="AE92" s="2"/>
      <c r="AF92" s="20" t="s">
        <v>270</v>
      </c>
      <c r="AG92" s="2"/>
      <c r="AH92" s="2"/>
      <c r="AI92" s="20" t="s">
        <v>437</v>
      </c>
      <c r="AJ92" s="2"/>
      <c r="AK92" s="20" t="s">
        <v>449</v>
      </c>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row>
    <row r="93" spans="1:297" ht="60" customHeight="1" x14ac:dyDescent="0.25">
      <c r="A93" s="5" t="str">
        <f t="shared" si="13"/>
        <v>HariyantoTI, et al, (2026), Journal of medical virology</v>
      </c>
      <c r="B93" s="3" t="str">
        <f t="shared" si="14"/>
        <v>Ebola in the Democratic Republic of the Congo: Are We Prepared for the Next Global Threat?</v>
      </c>
      <c r="C93" s="4" t="str">
        <f t="shared" si="15"/>
        <v>Commentary, Peer-reviewed publication</v>
      </c>
      <c r="D93" s="4" t="str">
        <f t="shared" si="16"/>
        <v>Bundibugyo</v>
      </c>
      <c r="E93" s="4" t="str">
        <f t="shared" si="17"/>
        <v>Yes</v>
      </c>
      <c r="F93" s="4" t="str">
        <f t="shared" si="18"/>
        <v/>
      </c>
      <c r="G93" s="4" t="str">
        <f t="shared" si="19"/>
        <v/>
      </c>
      <c r="H93" s="4" t="str">
        <f t="shared" si="20"/>
        <v/>
      </c>
      <c r="I93" s="4" t="str">
        <f t="shared" si="21"/>
        <v/>
      </c>
      <c r="J93" s="5" t="str">
        <f t="shared" si="22"/>
        <v/>
      </c>
      <c r="K93" s="5" t="str">
        <f t="shared" si="23"/>
        <v/>
      </c>
      <c r="N93" s="2" t="str">
        <f t="shared" si="24"/>
        <v>https://doi.org/10.1002/jmv.71013</v>
      </c>
      <c r="O93" s="20">
        <v>317</v>
      </c>
      <c r="P93" s="20" t="s">
        <v>770</v>
      </c>
      <c r="Q93" s="20" t="s">
        <v>771</v>
      </c>
      <c r="R93" s="20" t="s">
        <v>772</v>
      </c>
      <c r="S93" s="20" t="s">
        <v>773</v>
      </c>
      <c r="T93" s="20" t="s">
        <v>266</v>
      </c>
      <c r="U93" s="2"/>
      <c r="V93" s="20">
        <v>2</v>
      </c>
      <c r="W93" s="2"/>
      <c r="X93" s="20" t="s">
        <v>774</v>
      </c>
      <c r="Y93" s="2"/>
      <c r="Z93" s="20" t="s">
        <v>21</v>
      </c>
      <c r="AA93" s="2"/>
      <c r="AB93" s="2"/>
      <c r="AC93" s="2"/>
      <c r="AD93" s="20" t="s">
        <v>352</v>
      </c>
      <c r="AE93" s="2"/>
      <c r="AF93" s="20" t="s">
        <v>270</v>
      </c>
      <c r="AG93" s="2"/>
      <c r="AH93" s="2"/>
      <c r="AI93" s="20" t="s">
        <v>271</v>
      </c>
      <c r="AJ93" s="2"/>
      <c r="AK93" s="20" t="s">
        <v>425</v>
      </c>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row>
    <row r="94" spans="1:297" ht="60" customHeight="1" x14ac:dyDescent="0.25">
      <c r="A94" s="5" t="str">
        <f t="shared" si="13"/>
        <v xml:space="preserve">Checchi, et al, (2026) </v>
      </c>
      <c r="B94" s="3" t="str">
        <f t="shared" si="14"/>
        <v>Simulation of safe and dignified burial for control of Bundibugyo Ebola virus epidemics</v>
      </c>
      <c r="C94" s="4" t="str">
        <f t="shared" si="15"/>
        <v>Primary - article, Modeling, Other grey literature report</v>
      </c>
      <c r="D94" s="4" t="str">
        <f t="shared" si="16"/>
        <v>Bundibugyo</v>
      </c>
      <c r="E94" s="4" t="str">
        <f t="shared" si="17"/>
        <v>Yes</v>
      </c>
      <c r="F94" s="4" t="str">
        <f t="shared" si="18"/>
        <v>Safe and dignified burial (SDB) significantly reduces Ebola transmission by lowering the reproduction number (R), with high coverage and effectiveness being critical to achieving epidemic control or extinction, particularly under low transmissibility conditions. The longer it takes for SDB to get underway, the harder it will take to bring outbreaks under control and it may be efficient to preposition and activate SDB even in areas where no transmission is yet observed which may prevent geographic spillover.</v>
      </c>
      <c r="G94" s="4" t="str">
        <f t="shared" si="19"/>
        <v>Size or Duration estimate; Other PHM</v>
      </c>
      <c r="H94" s="4" t="str">
        <f t="shared" si="20"/>
        <v>Human - General population</v>
      </c>
      <c r="I94" s="4" t="str">
        <f t="shared" si="21"/>
        <v>Direct contact</v>
      </c>
      <c r="J94" s="5" t="str">
        <f t="shared" si="22"/>
        <v>Transmission &amp; Epidemiological Parameter - Estimates of outbreak size or duration: Under certain conditions of low transmissibility, SDB could make the difference between outbreak propagation and extinction. 
Public Health Measures - other: The combination of highly performant SDB and isolation and case management would probably make a formidable contribution to transmission. Moreover, SDB as a trust-building measure is likely to encourage care-seeking and case reporting, and could thus act synergistically with other interventions.</v>
      </c>
      <c r="K94" s="5" t="str">
        <f t="shared" si="23"/>
        <v>The authors constructed a simple stochastic transmission dynamic model of BVD, using a standard compartmental structure and a random mixing assumption, modified only to allow for deceased cases to contribute to transmission before they are buried. Susceptible cases move to the incubating state based on a force of infection 𝜆; they become symptomatic and thus infectious with flow rate 𝑟1: while in this state they influence 𝜆 based on 𝑅𝐼, mean transmissibility during this state. They move out of the infectious period when their illness ends (𝑟2), either dying (case-fatality ratio 𝜇) or surviving (1 −𝜇). Of those who die, a proportion 𝛾 (coverage) receive SDB and influence 𝜆 based on an 𝑅𝐷 attenuated by the effect of SDB (𝛿𝜑) at whatever level of effectiveness 𝜑 it is being implemented with (see below), while the remainder (1 − 𝛾) influence 𝜆 based on an unattenuated 𝑅𝐷. All dead persons are eventually buried with rate 𝑟3, thereby joining survivors in the Removed state.</v>
      </c>
      <c r="N94" s="2" t="str">
        <f t="shared" si="24"/>
        <v>https://cmmid.github.io/topics/ebola-bvd/safe-dignified-burial.html</v>
      </c>
      <c r="O94" s="20">
        <v>322</v>
      </c>
      <c r="P94" s="20" t="s">
        <v>1377</v>
      </c>
      <c r="Q94" s="20" t="s">
        <v>775</v>
      </c>
      <c r="R94" s="2"/>
      <c r="S94" s="20" t="s">
        <v>776</v>
      </c>
      <c r="T94" s="20" t="s">
        <v>266</v>
      </c>
      <c r="U94" s="2"/>
      <c r="V94" s="20" t="s">
        <v>267</v>
      </c>
      <c r="W94" s="2"/>
      <c r="X94" s="20" t="s">
        <v>776</v>
      </c>
      <c r="Y94" s="2"/>
      <c r="Z94" s="20" t="s">
        <v>21</v>
      </c>
      <c r="AA94" s="2"/>
      <c r="AB94" s="2"/>
      <c r="AC94" s="2"/>
      <c r="AD94" s="20" t="s">
        <v>352</v>
      </c>
      <c r="AE94" s="2"/>
      <c r="AF94" s="20" t="s">
        <v>270</v>
      </c>
      <c r="AG94" s="2"/>
      <c r="AH94" s="2"/>
      <c r="AI94" s="20" t="s">
        <v>306</v>
      </c>
      <c r="AJ94" s="2"/>
      <c r="AK94" s="20" t="s">
        <v>272</v>
      </c>
      <c r="AL94" s="2"/>
      <c r="AM94" s="2"/>
      <c r="AN94" s="2"/>
      <c r="AO94" s="2"/>
      <c r="AP94" s="20" t="s">
        <v>777</v>
      </c>
      <c r="AQ94" s="2"/>
      <c r="AR94" s="20" t="s">
        <v>37</v>
      </c>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0" t="s">
        <v>83</v>
      </c>
      <c r="CM94" s="2"/>
      <c r="CN94" s="2"/>
      <c r="CO94" s="2"/>
      <c r="CP94" s="2"/>
      <c r="CQ94" s="2"/>
      <c r="CR94" s="2"/>
      <c r="CS94" s="2"/>
      <c r="CT94" s="2"/>
      <c r="CU94" s="2"/>
      <c r="CV94" s="2"/>
      <c r="CW94" s="2"/>
      <c r="CX94" s="2"/>
      <c r="CY94" s="2"/>
      <c r="CZ94" s="2"/>
      <c r="DA94" s="2"/>
      <c r="DB94" s="2"/>
      <c r="DC94" s="2"/>
      <c r="DD94" s="2"/>
      <c r="DE94" s="2"/>
      <c r="DF94" s="2"/>
      <c r="DG94" s="2"/>
      <c r="DH94" s="20" t="s">
        <v>103</v>
      </c>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0" t="s">
        <v>135</v>
      </c>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0" t="s">
        <v>73</v>
      </c>
      <c r="FS94" s="2"/>
      <c r="FT94" s="2"/>
      <c r="FU94" s="2"/>
      <c r="FV94" s="2"/>
      <c r="FW94" s="2"/>
      <c r="FX94" s="2"/>
      <c r="FY94" s="2"/>
      <c r="FZ94" s="2"/>
      <c r="GA94" s="2"/>
      <c r="GB94" s="2"/>
      <c r="GC94" s="2"/>
      <c r="GD94" s="2"/>
      <c r="GE94" s="2"/>
      <c r="GF94" s="20" t="s">
        <v>73</v>
      </c>
      <c r="GG94" s="2"/>
      <c r="GH94" s="2"/>
      <c r="GI94" s="2"/>
      <c r="GJ94" s="2"/>
      <c r="GK94" s="2"/>
      <c r="GL94" s="2"/>
      <c r="GM94" s="2"/>
      <c r="GN94" s="2"/>
      <c r="GO94" s="2"/>
      <c r="GP94" s="20" t="s">
        <v>73</v>
      </c>
      <c r="GQ94" s="2"/>
      <c r="GR94" s="2"/>
      <c r="GS94" s="2"/>
      <c r="GT94" s="2"/>
      <c r="GU94" s="2"/>
      <c r="GV94" s="2"/>
      <c r="GW94" s="2"/>
      <c r="GX94" s="2"/>
      <c r="GY94" s="2"/>
      <c r="GZ94" s="2"/>
      <c r="HA94" s="2"/>
      <c r="HB94" s="20" t="s">
        <v>191</v>
      </c>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0" t="s">
        <v>73</v>
      </c>
      <c r="IC94" s="2"/>
      <c r="ID94" s="2"/>
      <c r="IE94" s="2"/>
      <c r="IF94" s="2"/>
      <c r="IG94" s="2"/>
      <c r="IH94" s="2"/>
      <c r="II94" s="2"/>
      <c r="IJ94" s="20" t="s">
        <v>73</v>
      </c>
      <c r="IK94" s="2"/>
      <c r="IL94" s="2"/>
      <c r="IM94" s="2"/>
      <c r="IN94" s="2"/>
      <c r="IO94" s="2"/>
      <c r="IP94" s="2"/>
      <c r="IQ94" s="2"/>
      <c r="IR94" s="2"/>
      <c r="IS94" s="2"/>
      <c r="IT94" s="20" t="s">
        <v>73</v>
      </c>
      <c r="IU94" s="2"/>
      <c r="IV94" s="2"/>
      <c r="IW94" s="2"/>
      <c r="IX94" s="20" t="s">
        <v>73</v>
      </c>
      <c r="IY94" s="2"/>
      <c r="IZ94" s="2"/>
      <c r="JA94" s="2"/>
      <c r="JB94" s="20" t="s">
        <v>73</v>
      </c>
      <c r="JC94" s="2"/>
      <c r="JD94" s="2"/>
      <c r="JE94" s="2"/>
      <c r="JF94" s="20" t="s">
        <v>73</v>
      </c>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0" t="s">
        <v>73</v>
      </c>
      <c r="KG94" s="2"/>
      <c r="KH94" s="20" t="s">
        <v>778</v>
      </c>
      <c r="KI94" s="2"/>
      <c r="KJ94" s="20" t="s">
        <v>779</v>
      </c>
      <c r="KK94" s="2"/>
    </row>
    <row r="95" spans="1:297" ht="60" customHeight="1" x14ac:dyDescent="0.25">
      <c r="A95" s="5" t="str">
        <f t="shared" si="13"/>
        <v xml:space="preserve">ECDC, (2026) </v>
      </c>
      <c r="B95" s="3" t="str">
        <f t="shared" si="14"/>
        <v>Overview of available modelling evidence to inform the scale and potential spread of Bundibugyo virus in the current Ebola disease outbreak</v>
      </c>
      <c r="C95" s="4" t="str">
        <f t="shared" si="15"/>
        <v>Other evidence synthesis, Government report</v>
      </c>
      <c r="D95" s="4" t="str">
        <f t="shared" si="16"/>
        <v>Bundibugyo</v>
      </c>
      <c r="E95" s="4" t="str">
        <f t="shared" si="17"/>
        <v>Yes</v>
      </c>
      <c r="F95" s="4" t="str">
        <f t="shared" si="18"/>
        <v>This overview assessed the modelling evidence to inform scale and spread of BDBV in DRC and Uganda. Multiple modelling groups suggest that the true size of the outbreak is larger than reported with one model estimating that cumulative infections as of 13 June were between 3.0 and 10.2 times the reported number of cases (90% credible interval). Current modelling estimates are highly uncertain due to data limitations. Relative risk of importation is highest in Rwanda, Tanzania and Kenya and low risk risk in EU/EEA.</v>
      </c>
      <c r="G95" s="4" t="str">
        <f t="shared" si="19"/>
        <v>Reproduction Number; Size or Duration estimate; Mortality</v>
      </c>
      <c r="H95" s="4" t="str">
        <f t="shared" si="20"/>
        <v>Human - General population</v>
      </c>
      <c r="I95" s="4" t="str">
        <f t="shared" si="21"/>
        <v/>
      </c>
      <c r="J95" s="5" t="str">
        <f t="shared" si="22"/>
        <v>Epidemiological Parameter - ESTIMATES OF OUTBREAK SIZE AND DURATION:
The MRC Centre for Global Infectious Disease Analysis at Imperial College London estimated that, as of 16 May 2026, the true number of infections was between 1.2 and 2.4 times the reported case count. The Epistorm group, led by Northeastern University in the United States (US) and supported by the US Centers for Disease Control and Prevention (US CDC), estimated the size of the outbreak around the same date to be 1.16 (90% credible interval (CrI): 0.4–2.7) times larger than reported. Epiforecasts, a consortium that includes modellers from the London School of Health and Tropical Medicine, has been continuously updating its estimates of the outbreak size. On 13 June, they estimated that the true number of infections was between 3.0 and 10.2 times higher than reported (90% CrI).
Relative risk of importation (i.e. the share of risk allocated to a location) is higher for the countries with the highest connectivity to the outbreak areas, with Rwanda, Tanzania and Kenya identified as the countries with the highest relative risk. Estimates of absolute risk of importation (i.e. the probability of risk to a particular country or locality) into the EU/EEA under current prevalence levels and assuming historical travel patterns suggest only a remote chance of importation in the next two-week period. European countries with the highest connectivity to the current outbreak areas are at higher relative risk of importation; these include the UK, Belgium, Germany France and Italy.   Mid-term scenario projections from US CDC suggest a 65% probability of over 20 000 infections over the next three months under the assumption that 20% of patients are effectively isolated and no other control measures are implemented. 
MORTALITY:
Epiforecasts conducted a model fitted to multiple surveillance data streams (suspected and confirmed cases and deaths in DRC, and exported cases and deaths in Uganda) estimated a CFR 0.28 to 0.61 (90% CrI).
The WHO reported that between May 2026 to present (DRC and Uganda)  CFR is 17.4% (93 deaths of 534 cases). Other historical outbreaks reported CFR ranging from 0-88% depending on the country and outbreak.
REPRODUCTION NUMBER:
Epiforecasts conducted a model fitted to multiple surveillance data streams (suspected and confirmed cases and deaths in DRC, and exported cases and deaths in Uganda) estimated a reproduction number (R0) of 1.29 to 3.06 (90%CrI).</v>
      </c>
      <c r="K95" s="5" t="str">
        <f t="shared" si="23"/>
        <v>ECDC experts conducted a pragmatic assessment of the modelling evidence available at the time of writing. Given the rapidly evolving nature of the outbreak and the need to support situational awareness, a formal systematic or rapid review methodology was not used. The assessment drew on the authors’ participation in international modelling networks and communities of practice, discussions with subject-matter experts, engagement with modelling groups actively working on the outbreak, and monitoring of publicly available reports, preprints, publications and technical outputs relevant to the ongoing outbreak.
At this early stage of the outbreak, modelling is constrained by limited data and considerable uncertainty around key epidemiological parameters. Consequently, analyses rely on assumptions and parameter estimates derived from previous outbreaks, which may not fully reflect the current situation. Multiple combinations of parameter values can plausibly explain the available observations, meaning that a wide range of model projections may be consistent with the data. Such variation primarily reflects uncertainty about the outbreak itself rather than differences in model quality. In addition, modelling assumptions, parameter choices and the interpretation of results may be influenced by analysts’ prior expectations, methodological preferences or the framing of the questions being addressed.</v>
      </c>
      <c r="N95" s="2" t="str">
        <f t="shared" si="24"/>
        <v>https://www.ecdc.europa.eu/sites/default/files/documents/modelling-evidence-bundibugyo-virus.pdf</v>
      </c>
      <c r="O95" s="20">
        <v>324</v>
      </c>
      <c r="P95" s="20" t="s">
        <v>1364</v>
      </c>
      <c r="Q95" s="20" t="s">
        <v>780</v>
      </c>
      <c r="R95" s="2"/>
      <c r="S95" s="20" t="s">
        <v>781</v>
      </c>
      <c r="T95" s="20" t="s">
        <v>266</v>
      </c>
      <c r="U95" s="2"/>
      <c r="V95" s="20" t="s">
        <v>267</v>
      </c>
      <c r="W95" s="2"/>
      <c r="X95" s="20" t="s">
        <v>782</v>
      </c>
      <c r="Y95" s="2"/>
      <c r="Z95" s="20" t="s">
        <v>21</v>
      </c>
      <c r="AA95" s="2"/>
      <c r="AB95" s="2"/>
      <c r="AC95" s="2"/>
      <c r="AD95" s="20" t="s">
        <v>352</v>
      </c>
      <c r="AE95" s="2"/>
      <c r="AF95" s="20" t="s">
        <v>270</v>
      </c>
      <c r="AG95" s="2"/>
      <c r="AH95" s="2"/>
      <c r="AI95" s="20" t="s">
        <v>437</v>
      </c>
      <c r="AJ95" s="2"/>
      <c r="AK95" s="20" t="s">
        <v>354</v>
      </c>
      <c r="AL95" s="2"/>
      <c r="AM95" s="2"/>
      <c r="AN95" s="2"/>
      <c r="AO95" s="2"/>
      <c r="AP95" s="20" t="s">
        <v>783</v>
      </c>
      <c r="AQ95" s="2"/>
      <c r="AR95" s="20" t="s">
        <v>37</v>
      </c>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0" t="s">
        <v>73</v>
      </c>
      <c r="DA95" s="2"/>
      <c r="DB95" s="2"/>
      <c r="DC95" s="2"/>
      <c r="DD95" s="2"/>
      <c r="DE95" s="2"/>
      <c r="DF95" s="2"/>
      <c r="DG95" s="2"/>
      <c r="DH95" s="2"/>
      <c r="DI95" s="2"/>
      <c r="DJ95" s="2"/>
      <c r="DK95" s="2"/>
      <c r="DL95" s="2"/>
      <c r="DM95" s="2"/>
      <c r="DN95" s="2"/>
      <c r="DO95" s="2"/>
      <c r="DP95" s="2"/>
      <c r="DQ95" s="2"/>
      <c r="DR95" s="2"/>
      <c r="DS95" s="2"/>
      <c r="DT95" s="2"/>
      <c r="DU95" s="2"/>
      <c r="DV95" s="20" t="s">
        <v>73</v>
      </c>
      <c r="DW95" s="2"/>
      <c r="DX95" s="2"/>
      <c r="DY95" s="2"/>
      <c r="DZ95" s="2"/>
      <c r="EA95" s="2"/>
      <c r="EB95" s="2"/>
      <c r="EC95" s="2"/>
      <c r="ED95" s="2"/>
      <c r="EE95" s="2"/>
      <c r="EF95" s="20" t="s">
        <v>125</v>
      </c>
      <c r="EG95" s="2"/>
      <c r="EH95" s="2"/>
      <c r="EI95" s="2"/>
      <c r="EJ95" s="2"/>
      <c r="EK95" s="2"/>
      <c r="EL95" s="2"/>
      <c r="EM95" s="2"/>
      <c r="EN95" s="2"/>
      <c r="EO95" s="2"/>
      <c r="EP95" s="20" t="s">
        <v>135</v>
      </c>
      <c r="EQ95" s="2"/>
      <c r="ER95" s="2"/>
      <c r="ES95" s="2"/>
      <c r="ET95" s="2"/>
      <c r="EU95" s="2"/>
      <c r="EV95" s="2"/>
      <c r="EW95" s="2"/>
      <c r="EX95" s="2"/>
      <c r="EY95" s="2"/>
      <c r="EZ95" s="2"/>
      <c r="FA95" s="2"/>
      <c r="FB95" s="2"/>
      <c r="FC95" s="2"/>
      <c r="FD95" s="2"/>
      <c r="FE95" s="2"/>
      <c r="FF95" s="20" t="s">
        <v>149</v>
      </c>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0" t="s">
        <v>73</v>
      </c>
      <c r="GG95" s="2"/>
      <c r="GH95" s="2"/>
      <c r="GI95" s="2"/>
      <c r="GJ95" s="2"/>
      <c r="GK95" s="2"/>
      <c r="GL95" s="2"/>
      <c r="GM95" s="2"/>
      <c r="GN95" s="2"/>
      <c r="GO95" s="2"/>
      <c r="GP95" s="20" t="s">
        <v>73</v>
      </c>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0" t="s">
        <v>73</v>
      </c>
      <c r="HS95" s="2"/>
      <c r="HT95" s="2"/>
      <c r="HU95" s="2"/>
      <c r="HV95" s="2"/>
      <c r="HW95" s="2"/>
      <c r="HX95" s="2"/>
      <c r="HY95" s="2"/>
      <c r="HZ95" s="2"/>
      <c r="IA95" s="2"/>
      <c r="IB95" s="20" t="s">
        <v>73</v>
      </c>
      <c r="IC95" s="2"/>
      <c r="ID95" s="2"/>
      <c r="IE95" s="2"/>
      <c r="IF95" s="2"/>
      <c r="IG95" s="2"/>
      <c r="IH95" s="2"/>
      <c r="II95" s="2"/>
      <c r="IJ95" s="20" t="s">
        <v>73</v>
      </c>
      <c r="IK95" s="2"/>
      <c r="IL95" s="2"/>
      <c r="IM95" s="2"/>
      <c r="IN95" s="2"/>
      <c r="IO95" s="2"/>
      <c r="IP95" s="2"/>
      <c r="IQ95" s="2"/>
      <c r="IR95" s="2"/>
      <c r="IS95" s="2"/>
      <c r="IT95" s="20" t="s">
        <v>73</v>
      </c>
      <c r="IU95" s="2"/>
      <c r="IV95" s="2"/>
      <c r="IW95" s="2"/>
      <c r="IX95" s="20" t="s">
        <v>73</v>
      </c>
      <c r="IY95" s="2"/>
      <c r="IZ95" s="2"/>
      <c r="JA95" s="2"/>
      <c r="JB95" s="20" t="s">
        <v>73</v>
      </c>
      <c r="JC95" s="2"/>
      <c r="JD95" s="2"/>
      <c r="JE95" s="2"/>
      <c r="JF95" s="20" t="s">
        <v>73</v>
      </c>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0" t="s">
        <v>73</v>
      </c>
      <c r="KG95" s="2"/>
      <c r="KH95" s="20" t="s">
        <v>784</v>
      </c>
      <c r="KI95" s="2"/>
      <c r="KJ95" s="20" t="s">
        <v>785</v>
      </c>
      <c r="KK95" s="2"/>
    </row>
    <row r="96" spans="1:297" ht="60" customHeight="1" x14ac:dyDescent="0.25">
      <c r="A96" s="5" t="str">
        <f t="shared" si="13"/>
        <v xml:space="preserve">ECDC, (2026) </v>
      </c>
      <c r="B96" s="3" t="str">
        <f t="shared" si="14"/>
        <v>Preparedness and response for imported cases of Ebola disease into an EU/EEA country</v>
      </c>
      <c r="C96" s="4" t="str">
        <f t="shared" si="15"/>
        <v>Other evidence synthesis, Government report</v>
      </c>
      <c r="D96" s="4" t="str">
        <f t="shared" si="16"/>
        <v>Bundibugyo</v>
      </c>
      <c r="E96" s="4" t="str">
        <f t="shared" si="17"/>
        <v>Yes</v>
      </c>
      <c r="F96" s="4" t="str">
        <f t="shared" si="18"/>
        <v>This report presents an overview of health preparedness and response planning elements for the potential importation of a case of Ebola disease into a European Union/European Economic Area (EU/EEA) Member State health system. This document is organised into four focus areas, representing the potential health system contact points of an imported Ebola disease case. All four areas must operate effectively and in coordination with public health services to prevent further community transmission.</v>
      </c>
      <c r="G96" s="4" t="str">
        <f t="shared" si="19"/>
        <v>Other PHM; Workflow guidance - IPC</v>
      </c>
      <c r="H96" s="4" t="str">
        <f t="shared" si="20"/>
        <v>Human - General population</v>
      </c>
      <c r="I96" s="4" t="str">
        <f t="shared" si="21"/>
        <v/>
      </c>
      <c r="J96" s="5" t="str">
        <f t="shared" si="22"/>
        <v>Infection Prevention and Control - General workflow guidance: The four focus areas highlighted in this document include: Potential health system first contact for an unknown case of Ebola disease,  In-country transport of a probable or confirmed case of Ebola disease, Designated treatment facility for Ebola disease case(s), Medical evacuation of an Ebola disease case and Overarching public health planning elements.  For each focus area, a checklist is presented as a stand-alone table, subdivided into the organisational capabilities required to: prepare for the possibility of an imported Ebola disease case: ‘Planning, protocols and training'; recognise individuals as Persons Under Investigation (PUI) or probable cases of Ebola disease: ‘Case Recognition’; manage PUI, probable or confirmed Ebola disease patient effectively, while ensuring the safety of staff who come into contact with them: ‘Patient Management and Staff Protection’.    
Public Health Measures - Other: This document also presents an overall preparedness checklist which can serve as a template for public health planning of the response to an imported case of Ebola disease case. This checklist sets out the system elements to plan without outlining the organisational competencies in detail. System elements include: public health preparedness planning, health care infrastructure, and risk communication and community engagement – Infodemic Management (RCCEIM).</v>
      </c>
      <c r="K96" s="5" t="str">
        <f t="shared" si="23"/>
        <v>This document was developed in the context of the ECDC Public Health Emergency for the Ebola outbreak 2026, drawing  upon multiple ECDC documents on public health preparedness and planning that can assist countries in their overall public health planning for such an event as well as aviation stakeholder guidance.</v>
      </c>
      <c r="N96" s="2" t="str">
        <f t="shared" si="24"/>
        <v>https://www.ecdc.europa.eu/en/publications-data/preparedness-and-response-imported-cases-ebola-disease-eueea-country</v>
      </c>
      <c r="O96" s="20">
        <v>338</v>
      </c>
      <c r="P96" s="20" t="s">
        <v>1364</v>
      </c>
      <c r="Q96" s="20" t="s">
        <v>786</v>
      </c>
      <c r="R96" s="2"/>
      <c r="S96" s="20" t="s">
        <v>787</v>
      </c>
      <c r="T96" s="20" t="s">
        <v>266</v>
      </c>
      <c r="U96" s="2"/>
      <c r="V96" s="20" t="s">
        <v>267</v>
      </c>
      <c r="W96" s="2"/>
      <c r="X96" s="20" t="s">
        <v>787</v>
      </c>
      <c r="Y96" s="2"/>
      <c r="Z96" s="20" t="s">
        <v>21</v>
      </c>
      <c r="AA96" s="2"/>
      <c r="AB96" s="2"/>
      <c r="AC96" s="2"/>
      <c r="AD96" s="20" t="s">
        <v>352</v>
      </c>
      <c r="AE96" s="2"/>
      <c r="AF96" s="20" t="s">
        <v>270</v>
      </c>
      <c r="AG96" s="2"/>
      <c r="AH96" s="2"/>
      <c r="AI96" s="20" t="s">
        <v>437</v>
      </c>
      <c r="AJ96" s="2"/>
      <c r="AK96" s="20" t="s">
        <v>354</v>
      </c>
      <c r="AL96" s="2"/>
      <c r="AM96" s="2"/>
      <c r="AN96" s="2"/>
      <c r="AO96" s="2"/>
      <c r="AP96" s="20" t="s">
        <v>788</v>
      </c>
      <c r="AQ96" s="2"/>
      <c r="AR96" s="20" t="s">
        <v>37</v>
      </c>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0" t="s">
        <v>73</v>
      </c>
      <c r="DA96" s="2"/>
      <c r="DB96" s="2"/>
      <c r="DC96" s="2"/>
      <c r="DD96" s="2"/>
      <c r="DE96" s="2"/>
      <c r="DF96" s="2"/>
      <c r="DG96" s="2"/>
      <c r="DH96" s="2"/>
      <c r="DI96" s="2"/>
      <c r="DJ96" s="2"/>
      <c r="DK96" s="2"/>
      <c r="DL96" s="2"/>
      <c r="DM96" s="2"/>
      <c r="DN96" s="2"/>
      <c r="DO96" s="2"/>
      <c r="DP96" s="2"/>
      <c r="DQ96" s="2"/>
      <c r="DR96" s="2"/>
      <c r="DS96" s="2"/>
      <c r="DT96" s="2"/>
      <c r="DU96" s="2"/>
      <c r="DV96" s="20" t="s">
        <v>73</v>
      </c>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0" t="s">
        <v>73</v>
      </c>
      <c r="EW96" s="2"/>
      <c r="EX96" s="2"/>
      <c r="EY96" s="2"/>
      <c r="EZ96" s="2"/>
      <c r="FA96" s="2"/>
      <c r="FB96" s="2"/>
      <c r="FC96" s="2"/>
      <c r="FD96" s="2"/>
      <c r="FE96" s="2"/>
      <c r="FF96" s="2"/>
      <c r="FG96" s="2"/>
      <c r="FH96" s="2"/>
      <c r="FI96" s="2"/>
      <c r="FJ96" s="2"/>
      <c r="FK96" s="2"/>
      <c r="FL96" s="2"/>
      <c r="FM96" s="2"/>
      <c r="FN96" s="2"/>
      <c r="FO96" s="2"/>
      <c r="FP96" s="2"/>
      <c r="FQ96" s="2"/>
      <c r="FR96" s="20" t="s">
        <v>73</v>
      </c>
      <c r="FS96" s="2"/>
      <c r="FT96" s="2"/>
      <c r="FU96" s="2"/>
      <c r="FV96" s="2"/>
      <c r="FW96" s="2"/>
      <c r="FX96" s="2"/>
      <c r="FY96" s="2"/>
      <c r="FZ96" s="2"/>
      <c r="GA96" s="2"/>
      <c r="GB96" s="2"/>
      <c r="GC96" s="2"/>
      <c r="GD96" s="2"/>
      <c r="GE96" s="2"/>
      <c r="GF96" s="20" t="s">
        <v>73</v>
      </c>
      <c r="GG96" s="2"/>
      <c r="GH96" s="2"/>
      <c r="GI96" s="2"/>
      <c r="GJ96" s="2"/>
      <c r="GK96" s="2"/>
      <c r="GL96" s="2"/>
      <c r="GM96" s="2"/>
      <c r="GN96" s="2"/>
      <c r="GO96" s="2"/>
      <c r="GP96" s="20" t="s">
        <v>73</v>
      </c>
      <c r="GQ96" s="2"/>
      <c r="GR96" s="2"/>
      <c r="GS96" s="2"/>
      <c r="GT96" s="2"/>
      <c r="GU96" s="2"/>
      <c r="GV96" s="2"/>
      <c r="GW96" s="2"/>
      <c r="GX96" s="2"/>
      <c r="GY96" s="2"/>
      <c r="GZ96" s="2"/>
      <c r="HA96" s="2"/>
      <c r="HB96" s="20" t="s">
        <v>191</v>
      </c>
      <c r="HC96" s="2"/>
      <c r="HD96" s="2"/>
      <c r="HE96" s="2"/>
      <c r="HF96" s="2"/>
      <c r="HG96" s="2"/>
      <c r="HH96" s="2"/>
      <c r="HI96" s="2"/>
      <c r="HJ96" s="2"/>
      <c r="HK96" s="2"/>
      <c r="HL96" s="2"/>
      <c r="HM96" s="2"/>
      <c r="HN96" s="20" t="s">
        <v>203</v>
      </c>
      <c r="HO96" s="2"/>
      <c r="HP96" s="2"/>
      <c r="HQ96" s="2"/>
      <c r="HR96" s="2"/>
      <c r="HS96" s="2"/>
      <c r="HT96" s="2"/>
      <c r="HU96" s="2"/>
      <c r="HV96" s="2"/>
      <c r="HW96" s="2"/>
      <c r="HX96" s="2"/>
      <c r="HY96" s="2"/>
      <c r="HZ96" s="2"/>
      <c r="IA96" s="2"/>
      <c r="IB96" s="20" t="s">
        <v>73</v>
      </c>
      <c r="IC96" s="2"/>
      <c r="ID96" s="2"/>
      <c r="IE96" s="2"/>
      <c r="IF96" s="2"/>
      <c r="IG96" s="2"/>
      <c r="IH96" s="2"/>
      <c r="II96" s="2"/>
      <c r="IJ96" s="20" t="s">
        <v>73</v>
      </c>
      <c r="IK96" s="2"/>
      <c r="IL96" s="2"/>
      <c r="IM96" s="2"/>
      <c r="IN96" s="2"/>
      <c r="IO96" s="2"/>
      <c r="IP96" s="2"/>
      <c r="IQ96" s="2"/>
      <c r="IR96" s="2"/>
      <c r="IS96" s="2"/>
      <c r="IT96" s="20" t="s">
        <v>73</v>
      </c>
      <c r="IU96" s="2"/>
      <c r="IV96" s="2"/>
      <c r="IW96" s="2"/>
      <c r="IX96" s="20" t="s">
        <v>73</v>
      </c>
      <c r="IY96" s="2"/>
      <c r="IZ96" s="2"/>
      <c r="JA96" s="2"/>
      <c r="JB96" s="20" t="s">
        <v>73</v>
      </c>
      <c r="JC96" s="2"/>
      <c r="JD96" s="2"/>
      <c r="JE96" s="2"/>
      <c r="JF96" s="20" t="s">
        <v>73</v>
      </c>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0" t="s">
        <v>73</v>
      </c>
      <c r="KG96" s="2"/>
      <c r="KH96" s="20" t="s">
        <v>789</v>
      </c>
      <c r="KI96" s="2"/>
      <c r="KJ96" s="20" t="s">
        <v>790</v>
      </c>
      <c r="KK96" s="2"/>
    </row>
    <row r="97" spans="1:297" ht="60" customHeight="1" x14ac:dyDescent="0.25">
      <c r="A97" s="5" t="str">
        <f t="shared" si="13"/>
        <v xml:space="preserve">Nature, (2026) </v>
      </c>
      <c r="B97" s="3" t="str">
        <f t="shared" si="14"/>
        <v>Broad-spectrum Ebola vaccine</v>
      </c>
      <c r="C97" s="4" t="str">
        <f t="shared" si="15"/>
        <v>News, Other grey literature report</v>
      </c>
      <c r="D97" s="4" t="str">
        <f t="shared" si="16"/>
        <v>Bundibugyo</v>
      </c>
      <c r="E97" s="4" t="str">
        <f t="shared" si="17"/>
        <v>Yes</v>
      </c>
      <c r="F97" s="4" t="str">
        <f t="shared" si="18"/>
        <v/>
      </c>
      <c r="G97" s="4" t="str">
        <f t="shared" si="19"/>
        <v/>
      </c>
      <c r="H97" s="4" t="str">
        <f t="shared" si="20"/>
        <v/>
      </c>
      <c r="I97" s="4" t="str">
        <f t="shared" si="21"/>
        <v/>
      </c>
      <c r="J97" s="5" t="str">
        <f t="shared" si="22"/>
        <v/>
      </c>
      <c r="K97" s="5" t="str">
        <f t="shared" si="23"/>
        <v/>
      </c>
      <c r="N97" s="2" t="str">
        <f t="shared" si="24"/>
        <v>https://www.nature.com/articles/s41587-026-03191-4</v>
      </c>
      <c r="O97" s="20">
        <v>339</v>
      </c>
      <c r="P97" s="20" t="s">
        <v>1378</v>
      </c>
      <c r="Q97" s="20" t="s">
        <v>791</v>
      </c>
      <c r="R97" s="2"/>
      <c r="S97" s="20" t="s">
        <v>792</v>
      </c>
      <c r="T97" s="20" t="s">
        <v>266</v>
      </c>
      <c r="U97" s="2"/>
      <c r="V97" s="20">
        <v>2</v>
      </c>
      <c r="W97" s="2"/>
      <c r="X97" s="20" t="s">
        <v>792</v>
      </c>
      <c r="Y97" s="2"/>
      <c r="Z97" s="20" t="s">
        <v>21</v>
      </c>
      <c r="AA97" s="2"/>
      <c r="AB97" s="2"/>
      <c r="AC97" s="2"/>
      <c r="AD97" s="20" t="s">
        <v>352</v>
      </c>
      <c r="AE97" s="2"/>
      <c r="AF97" s="20" t="s">
        <v>270</v>
      </c>
      <c r="AG97" s="2"/>
      <c r="AH97" s="2"/>
      <c r="AI97" s="20" t="s">
        <v>306</v>
      </c>
      <c r="AJ97" s="2"/>
      <c r="AK97" s="20" t="s">
        <v>307</v>
      </c>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row>
    <row r="98" spans="1:297" ht="60" customHeight="1" x14ac:dyDescent="0.25">
      <c r="A98" s="5" t="str">
        <f t="shared" si="13"/>
        <v>AbdiAM, et al, (2026), New Microbes and New Infections</v>
      </c>
      <c r="B98" s="3" t="str">
        <f t="shared" si="14"/>
        <v>Why is there still no licensed vaccine for Bundibugyo ebolavirus? Lessons from the 2026 outbreaks in Uganda and the Democratic Republic of Congo</v>
      </c>
      <c r="C98" s="4" t="str">
        <f t="shared" si="15"/>
        <v>Commentary, Peer-reviewed publication</v>
      </c>
      <c r="D98" s="4" t="str">
        <f t="shared" si="16"/>
        <v>Bundibugyo</v>
      </c>
      <c r="E98" s="4" t="str">
        <f t="shared" si="17"/>
        <v>Yes</v>
      </c>
      <c r="F98" s="4" t="str">
        <f t="shared" si="18"/>
        <v/>
      </c>
      <c r="G98" s="4" t="str">
        <f t="shared" si="19"/>
        <v/>
      </c>
      <c r="H98" s="4" t="str">
        <f t="shared" si="20"/>
        <v/>
      </c>
      <c r="I98" s="4" t="str">
        <f t="shared" si="21"/>
        <v/>
      </c>
      <c r="J98" s="5" t="str">
        <f t="shared" si="22"/>
        <v/>
      </c>
      <c r="K98" s="5" t="str">
        <f t="shared" si="23"/>
        <v/>
      </c>
      <c r="N98" s="2" t="str">
        <f t="shared" si="24"/>
        <v>https://doi.org/10.1016/j.nmni.2026.101789</v>
      </c>
      <c r="O98" s="20">
        <v>341</v>
      </c>
      <c r="P98" s="20" t="s">
        <v>793</v>
      </c>
      <c r="Q98" s="20" t="s">
        <v>794</v>
      </c>
      <c r="R98" s="20" t="s">
        <v>795</v>
      </c>
      <c r="S98" s="20" t="s">
        <v>796</v>
      </c>
      <c r="T98" s="20" t="s">
        <v>266</v>
      </c>
      <c r="U98" s="2"/>
      <c r="V98" s="20">
        <v>2</v>
      </c>
      <c r="W98" s="2"/>
      <c r="X98" s="20" t="s">
        <v>797</v>
      </c>
      <c r="Y98" s="2"/>
      <c r="Z98" s="20" t="s">
        <v>21</v>
      </c>
      <c r="AA98" s="2"/>
      <c r="AB98" s="2"/>
      <c r="AC98" s="2"/>
      <c r="AD98" s="20" t="s">
        <v>352</v>
      </c>
      <c r="AE98" s="2"/>
      <c r="AF98" s="20" t="s">
        <v>270</v>
      </c>
      <c r="AG98" s="2"/>
      <c r="AH98" s="2"/>
      <c r="AI98" s="20" t="s">
        <v>271</v>
      </c>
      <c r="AJ98" s="2"/>
      <c r="AK98" s="20" t="s">
        <v>425</v>
      </c>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row>
    <row r="99" spans="1:297" ht="60" customHeight="1" x14ac:dyDescent="0.25">
      <c r="A99" s="5" t="str">
        <f t="shared" si="13"/>
        <v>ThompsonB, et al, (2026), Nature</v>
      </c>
      <c r="B99" s="3" t="str">
        <f t="shared" si="14"/>
        <v>Major Ebola outbreak is escalating: what happens next</v>
      </c>
      <c r="C99" s="4" t="str">
        <f t="shared" si="15"/>
        <v>Other non-primary, Other grey literature report</v>
      </c>
      <c r="D99" s="4" t="str">
        <f t="shared" si="16"/>
        <v>Bundibugyo</v>
      </c>
      <c r="E99" s="4" t="str">
        <f t="shared" si="17"/>
        <v>Yes</v>
      </c>
      <c r="F99" s="4" t="str">
        <f t="shared" si="18"/>
        <v/>
      </c>
      <c r="G99" s="4" t="str">
        <f t="shared" si="19"/>
        <v/>
      </c>
      <c r="H99" s="4" t="str">
        <f t="shared" si="20"/>
        <v/>
      </c>
      <c r="I99" s="4" t="str">
        <f t="shared" si="21"/>
        <v/>
      </c>
      <c r="J99" s="5" t="str">
        <f t="shared" si="22"/>
        <v/>
      </c>
      <c r="K99" s="5" t="str">
        <f t="shared" si="23"/>
        <v/>
      </c>
      <c r="N99" s="2" t="str">
        <f t="shared" si="24"/>
        <v>https://doi.org/10.1038/d41586-026-01660-z</v>
      </c>
      <c r="O99" s="20">
        <v>342</v>
      </c>
      <c r="P99" s="20" t="s">
        <v>798</v>
      </c>
      <c r="Q99" s="20" t="s">
        <v>799</v>
      </c>
      <c r="R99" s="20" t="s">
        <v>800</v>
      </c>
      <c r="S99" s="20" t="s">
        <v>801</v>
      </c>
      <c r="T99" s="20" t="s">
        <v>266</v>
      </c>
      <c r="U99" s="2"/>
      <c r="V99" s="20">
        <v>2</v>
      </c>
      <c r="W99" s="2"/>
      <c r="X99" s="20" t="s">
        <v>802</v>
      </c>
      <c r="Y99" s="2"/>
      <c r="Z99" s="20" t="s">
        <v>21</v>
      </c>
      <c r="AA99" s="2"/>
      <c r="AB99" s="2"/>
      <c r="AC99" s="2"/>
      <c r="AD99" s="20" t="s">
        <v>352</v>
      </c>
      <c r="AE99" s="2"/>
      <c r="AF99" s="20" t="s">
        <v>270</v>
      </c>
      <c r="AG99" s="2"/>
      <c r="AH99" s="2"/>
      <c r="AI99" s="20" t="s">
        <v>306</v>
      </c>
      <c r="AJ99" s="2"/>
      <c r="AK99" s="20" t="s">
        <v>449</v>
      </c>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row>
    <row r="100" spans="1:297" ht="60" customHeight="1" x14ac:dyDescent="0.25">
      <c r="A100" s="5" t="str">
        <f t="shared" si="13"/>
        <v xml:space="preserve">Kupferschmidt, et al, (2026) </v>
      </c>
      <c r="B100" s="3" t="str">
        <f t="shared" si="14"/>
        <v>Big Ebola outbreak puts research spotlight on little-known virus</v>
      </c>
      <c r="C100" s="4" t="str">
        <f t="shared" si="15"/>
        <v>News, Other grey literature report</v>
      </c>
      <c r="D100" s="4" t="str">
        <f t="shared" si="16"/>
        <v>Bundibugyo</v>
      </c>
      <c r="E100" s="4" t="str">
        <f t="shared" si="17"/>
        <v>Yes</v>
      </c>
      <c r="F100" s="4" t="str">
        <f t="shared" si="18"/>
        <v/>
      </c>
      <c r="G100" s="4" t="str">
        <f t="shared" si="19"/>
        <v/>
      </c>
      <c r="H100" s="4" t="str">
        <f t="shared" si="20"/>
        <v/>
      </c>
      <c r="I100" s="4" t="str">
        <f t="shared" si="21"/>
        <v/>
      </c>
      <c r="J100" s="5" t="str">
        <f t="shared" si="22"/>
        <v/>
      </c>
      <c r="K100" s="5" t="str">
        <f t="shared" si="23"/>
        <v/>
      </c>
      <c r="N100" s="2" t="str">
        <f t="shared" si="24"/>
        <v>https://doi.org/10.1126/science.aej7944</v>
      </c>
      <c r="O100" s="20">
        <v>343</v>
      </c>
      <c r="P100" s="20" t="s">
        <v>1357</v>
      </c>
      <c r="Q100" s="20" t="s">
        <v>803</v>
      </c>
      <c r="R100" s="20" t="s">
        <v>804</v>
      </c>
      <c r="S100" s="20" t="s">
        <v>805</v>
      </c>
      <c r="T100" s="20" t="s">
        <v>266</v>
      </c>
      <c r="U100" s="2"/>
      <c r="V100" s="20">
        <v>2</v>
      </c>
      <c r="W100" s="2"/>
      <c r="X100" s="20" t="s">
        <v>806</v>
      </c>
      <c r="Y100" s="2"/>
      <c r="Z100" s="20" t="s">
        <v>21</v>
      </c>
      <c r="AA100" s="2"/>
      <c r="AB100" s="2"/>
      <c r="AC100" s="2"/>
      <c r="AD100" s="20" t="s">
        <v>352</v>
      </c>
      <c r="AE100" s="2"/>
      <c r="AF100" s="20" t="s">
        <v>270</v>
      </c>
      <c r="AG100" s="2"/>
      <c r="AH100" s="2"/>
      <c r="AI100" s="20" t="s">
        <v>306</v>
      </c>
      <c r="AJ100" s="2"/>
      <c r="AK100" s="20" t="s">
        <v>307</v>
      </c>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row>
    <row r="101" spans="1:297" ht="60" customHeight="1" x14ac:dyDescent="0.25">
      <c r="A101" s="5" t="str">
        <f t="shared" si="13"/>
        <v>Tonen-Wolyec, et al, (2026), The New England journal of medicine</v>
      </c>
      <c r="B101" s="3" t="str">
        <f t="shared" si="14"/>
        <v>The Social Contract of Bundibugyo Ebola Isolation</v>
      </c>
      <c r="C101" s="4" t="str">
        <f t="shared" si="15"/>
        <v>Commentary, Peer-reviewed publication</v>
      </c>
      <c r="D101" s="4" t="str">
        <f t="shared" si="16"/>
        <v>Bundibugyo</v>
      </c>
      <c r="E101" s="4" t="str">
        <f t="shared" si="17"/>
        <v>Yes</v>
      </c>
      <c r="F101" s="4" t="str">
        <f t="shared" si="18"/>
        <v/>
      </c>
      <c r="G101" s="4" t="str">
        <f t="shared" si="19"/>
        <v/>
      </c>
      <c r="H101" s="4" t="str">
        <f t="shared" si="20"/>
        <v/>
      </c>
      <c r="I101" s="4" t="str">
        <f t="shared" si="21"/>
        <v/>
      </c>
      <c r="J101" s="5" t="str">
        <f t="shared" si="22"/>
        <v/>
      </c>
      <c r="K101" s="5" t="str">
        <f t="shared" si="23"/>
        <v/>
      </c>
      <c r="N101" s="2" t="str">
        <f t="shared" si="24"/>
        <v>https://doi.org/10.1056/nejmp2607429</v>
      </c>
      <c r="O101" s="20">
        <v>344</v>
      </c>
      <c r="P101" s="20" t="s">
        <v>807</v>
      </c>
      <c r="Q101" s="20" t="s">
        <v>808</v>
      </c>
      <c r="R101" s="20" t="s">
        <v>809</v>
      </c>
      <c r="S101" s="20" t="s">
        <v>810</v>
      </c>
      <c r="T101" s="20" t="s">
        <v>266</v>
      </c>
      <c r="U101" s="2"/>
      <c r="V101" s="20">
        <v>2</v>
      </c>
      <c r="W101" s="2"/>
      <c r="X101" s="20" t="s">
        <v>811</v>
      </c>
      <c r="Y101" s="2"/>
      <c r="Z101" s="20" t="s">
        <v>21</v>
      </c>
      <c r="AA101" s="2"/>
      <c r="AB101" s="2"/>
      <c r="AC101" s="2"/>
      <c r="AD101" s="20" t="s">
        <v>352</v>
      </c>
      <c r="AE101" s="2"/>
      <c r="AF101" s="20" t="s">
        <v>270</v>
      </c>
      <c r="AG101" s="2"/>
      <c r="AH101" s="2"/>
      <c r="AI101" s="20" t="s">
        <v>271</v>
      </c>
      <c r="AJ101" s="2"/>
      <c r="AK101" s="20" t="s">
        <v>425</v>
      </c>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row>
    <row r="102" spans="1:297" ht="60" customHeight="1" x14ac:dyDescent="0.25">
      <c r="A102" s="5" t="str">
        <f t="shared" si="13"/>
        <v xml:space="preserve">O’Donnell, et al, (2026) </v>
      </c>
      <c r="B102" s="3" t="str">
        <f t="shared" si="14"/>
        <v>A Single-Dose Bundibugyo Virus Vaccine Protects Macaques Within 3 Days</v>
      </c>
      <c r="C102" s="4" t="str">
        <f t="shared" si="15"/>
        <v>Primary - article, Experimental, Preprint</v>
      </c>
      <c r="D102" s="4" t="str">
        <f t="shared" si="16"/>
        <v>Bundibugyo</v>
      </c>
      <c r="E102" s="4" t="str">
        <f t="shared" si="17"/>
        <v>Yes</v>
      </c>
      <c r="F102" s="4" t="str">
        <f t="shared" si="18"/>
        <v>Authors evaluated the rapid protection by a single-dose vaccination of vesicular stomatitis virus - Bundibugyo virus (VSV-BDBV) in  cynomolgus macaques (n=5) and showed that vaccination elicited rapid innate and early adaptive immune responses and conferred complete protection from clinical disease against BDBV challenge within 3 days. Vaccinated cynomolgus macaques exhibited minimal clinical signs, limited systemic inflammation, and no infectious virus was isolated from the blood at any time; protection correlated with neutralizing antibodies and Fc effector functionality of the humoral immune response.</v>
      </c>
      <c r="G102" s="4" t="str">
        <f t="shared" si="19"/>
        <v>Vaccination immunity - efficacy/effectiveness; Vaccine immunity measures (Ab, titre, cytokines)</v>
      </c>
      <c r="H102" s="4" t="str">
        <f t="shared" si="20"/>
        <v>Animal - model of disease</v>
      </c>
      <c r="I102" s="4" t="str">
        <f t="shared" si="21"/>
        <v/>
      </c>
      <c r="J102" s="5" t="str">
        <f t="shared" si="22"/>
        <v>Vaccine immunity - Protection from infection and other disease outcomes (efficacy/effectiveness): A control group received the VSV-Marburg virus (VSV-MARV) vaccine at 1×107 PFU by the  intramuscular route 7 days prior to BDBV challenge and resulted in 60% lethality. Viral load quantification showed that the control non-human primates (NHP) developed high titer viremia, specifically the NHPs that succumbed to disease, while the VSV-BDBV-vaccinated NHPs displayed no or low viral RNA levels. No infectious virus was recovered at any time point from the blood of all vaccinated NHPs, BDBV RNA was absent in all swab samples obtained from the vaccinated NHPs
Vaccine immunity - Measures of protective immunity (antibodies/titres/cytokines): The demonstration of rapid onset of protection for species-specific VSV-based vaccines against the human-pathogenic filoviruses indicates that this may be an intrinsic property of the VSV platform dominated early on by the robust innate immune response. The protective efficacy of VSV-based filovirus vaccines altogether, however, is species-specific, driven primarily by the antibody responses directed against the viral GP antigens. Rapid protection appears to be associated with the induction of early antiviral innate immune responses coupled with the accelerated development of functional GP-specific antibodies. Consistent with a benign clinical disease course, vaccinated NHPs exhibited minimal cytokine dysregulation following challenge. Pro-inflammatory cytokines characteristic of severe EBOD, including IL-6, TNF-α, IFN-α, IFN-β, and IFN-ψ, were markedly reduced compared to the control NHPs.</v>
      </c>
      <c r="K102" s="5" t="str">
        <f t="shared" si="23"/>
        <v>Fifteen male cynomolgus macaques (Macaca fascicularis) 6-11 years of age and 5.5–7.9 kg in weight were used for this study and randomly assigned to vaccination groups. Group sizes of n = 5 were determined to be required by power analysis using log-rank test in graph pad/prism under the assumption that 40% of the control animals may survive the infection. To determine a shortened time from vaccination to challenge resulting in uniform protection from disease caused by BDBV infection, cynomolgus macaques (n=5 per group) received a single intramuscular (IM) dose of VSV–BDBV (1×107 PFU) either 7 or 3 days prior to IM challenge with 10,000 median tissue culture infectious dose (TCID50) of BDBV. A control group received the VSV-Marburg virus (VSV-MARV) vaccine at 1×107 PFU by the IM route 7 days prior to BDBV challenge. The total white blood cell, neutrophil, lymphocyte, and platelet counts were determined from EDTA blood with the IDEXX ProCyte DX analyzer (IDEXX Laboratories, Westbrook, ME). Serum biochemistry including aspartate aminotransferase (AST), alkaline phosphatase (ALP), alanine aminotransferase (ALT), glucose, blood urea nitrogen, creatinine, and total bilirubin was analyzed on a Vetscan 2 using Preventive care profile disks (Abaxis, Union City, CA).</v>
      </c>
      <c r="N102" s="2" t="str">
        <f t="shared" si="24"/>
        <v>https://doi.org/10.64898/2026.06.14.732188</v>
      </c>
      <c r="O102" s="20">
        <v>345</v>
      </c>
      <c r="P102" s="20" t="s">
        <v>1379</v>
      </c>
      <c r="Q102" s="20" t="s">
        <v>812</v>
      </c>
      <c r="R102" s="20" t="s">
        <v>813</v>
      </c>
      <c r="S102" s="20" t="s">
        <v>814</v>
      </c>
      <c r="T102" s="20" t="s">
        <v>266</v>
      </c>
      <c r="U102" s="2"/>
      <c r="V102" s="20" t="s">
        <v>267</v>
      </c>
      <c r="W102" s="2"/>
      <c r="X102" s="20" t="s">
        <v>815</v>
      </c>
      <c r="Y102" s="2"/>
      <c r="Z102" s="20" t="s">
        <v>21</v>
      </c>
      <c r="AA102" s="2"/>
      <c r="AB102" s="2"/>
      <c r="AC102" s="2"/>
      <c r="AD102" s="20" t="s">
        <v>352</v>
      </c>
      <c r="AE102" s="2"/>
      <c r="AF102" s="20" t="s">
        <v>270</v>
      </c>
      <c r="AG102" s="2"/>
      <c r="AH102" s="2"/>
      <c r="AI102" s="20" t="s">
        <v>353</v>
      </c>
      <c r="AJ102" s="2"/>
      <c r="AK102" s="20" t="s">
        <v>272</v>
      </c>
      <c r="AL102" s="2"/>
      <c r="AM102" s="2"/>
      <c r="AN102" s="2"/>
      <c r="AO102" s="2"/>
      <c r="AP102" s="20" t="s">
        <v>816</v>
      </c>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0" t="s">
        <v>59</v>
      </c>
      <c r="BO102" s="2"/>
      <c r="BP102" s="2"/>
      <c r="BQ102" s="2"/>
      <c r="BR102" s="2"/>
      <c r="BS102" s="2"/>
      <c r="BT102" s="2"/>
      <c r="BU102" s="2"/>
      <c r="BV102" s="2"/>
      <c r="BW102" s="2"/>
      <c r="BX102" s="2"/>
      <c r="BY102" s="2"/>
      <c r="BZ102" s="2"/>
      <c r="CA102" s="2"/>
      <c r="CB102" s="2"/>
      <c r="CC102" s="2"/>
      <c r="CD102" s="2"/>
      <c r="CE102" s="2"/>
      <c r="CF102" s="2"/>
      <c r="CG102" s="2"/>
      <c r="CH102" s="20" t="s">
        <v>79</v>
      </c>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0" t="s">
        <v>73</v>
      </c>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0" t="s">
        <v>73</v>
      </c>
      <c r="EW102" s="2"/>
      <c r="EX102" s="2"/>
      <c r="EY102" s="2"/>
      <c r="EZ102" s="2"/>
      <c r="FA102" s="2"/>
      <c r="FB102" s="2"/>
      <c r="FC102" s="2"/>
      <c r="FD102" s="2"/>
      <c r="FE102" s="2"/>
      <c r="FF102" s="2"/>
      <c r="FG102" s="2"/>
      <c r="FH102" s="2"/>
      <c r="FI102" s="2"/>
      <c r="FJ102" s="2"/>
      <c r="FK102" s="2"/>
      <c r="FL102" s="2"/>
      <c r="FM102" s="2"/>
      <c r="FN102" s="2"/>
      <c r="FO102" s="2"/>
      <c r="FP102" s="2"/>
      <c r="FQ102" s="2"/>
      <c r="FR102" s="20" t="s">
        <v>73</v>
      </c>
      <c r="FS102" s="2"/>
      <c r="FT102" s="2"/>
      <c r="FU102" s="2"/>
      <c r="FV102" s="20" t="s">
        <v>163</v>
      </c>
      <c r="FW102" s="2"/>
      <c r="FX102" s="2"/>
      <c r="FY102" s="2"/>
      <c r="FZ102" s="2"/>
      <c r="GA102" s="2"/>
      <c r="GB102" s="20" t="s">
        <v>169</v>
      </c>
      <c r="GC102" s="2"/>
      <c r="GD102" s="2"/>
      <c r="GE102" s="2"/>
      <c r="GF102" s="2"/>
      <c r="GG102" s="2"/>
      <c r="GH102" s="2"/>
      <c r="GI102" s="2"/>
      <c r="GJ102" s="2"/>
      <c r="GK102" s="2"/>
      <c r="GL102" s="2"/>
      <c r="GM102" s="2"/>
      <c r="GN102" s="2"/>
      <c r="GO102" s="2"/>
      <c r="GP102" s="20" t="s">
        <v>73</v>
      </c>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0" t="s">
        <v>73</v>
      </c>
      <c r="HS102" s="2"/>
      <c r="HT102" s="2"/>
      <c r="HU102" s="2"/>
      <c r="HV102" s="2"/>
      <c r="HW102" s="2"/>
      <c r="HX102" s="2"/>
      <c r="HY102" s="2"/>
      <c r="HZ102" s="2"/>
      <c r="IA102" s="2"/>
      <c r="IB102" s="20" t="s">
        <v>73</v>
      </c>
      <c r="IC102" s="2"/>
      <c r="ID102" s="2"/>
      <c r="IE102" s="2"/>
      <c r="IF102" s="2"/>
      <c r="IG102" s="2"/>
      <c r="IH102" s="2"/>
      <c r="II102" s="2"/>
      <c r="IJ102" s="20" t="s">
        <v>73</v>
      </c>
      <c r="IK102" s="2"/>
      <c r="IL102" s="2"/>
      <c r="IM102" s="2"/>
      <c r="IN102" s="2"/>
      <c r="IO102" s="2"/>
      <c r="IP102" s="2"/>
      <c r="IQ102" s="2"/>
      <c r="IR102" s="2"/>
      <c r="IS102" s="2"/>
      <c r="IT102" s="20" t="s">
        <v>73</v>
      </c>
      <c r="IU102" s="2"/>
      <c r="IV102" s="2"/>
      <c r="IW102" s="2"/>
      <c r="IX102" s="20" t="s">
        <v>73</v>
      </c>
      <c r="IY102" s="2"/>
      <c r="IZ102" s="2"/>
      <c r="JA102" s="2"/>
      <c r="JB102" s="20" t="s">
        <v>73</v>
      </c>
      <c r="JC102" s="2"/>
      <c r="JD102" s="2"/>
      <c r="JE102" s="2"/>
      <c r="JF102" s="20" t="s">
        <v>73</v>
      </c>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0" t="s">
        <v>73</v>
      </c>
      <c r="KG102" s="2"/>
      <c r="KH102" s="20" t="s">
        <v>817</v>
      </c>
      <c r="KI102" s="2"/>
      <c r="KJ102" s="20" t="s">
        <v>818</v>
      </c>
      <c r="KK102" s="2"/>
    </row>
    <row r="103" spans="1:297" ht="60" customHeight="1" x14ac:dyDescent="0.25">
      <c r="A103" s="5" t="str">
        <f t="shared" si="13"/>
        <v xml:space="preserve">Kopp, et al, (2026) </v>
      </c>
      <c r="B103" s="3" t="str">
        <f t="shared" si="14"/>
        <v>Bundibugyo Virus Disease: Diagnostics and Medical Countermeasures for a Neglected Ebolavirus</v>
      </c>
      <c r="C103" s="4" t="str">
        <f t="shared" si="15"/>
        <v>Lit review, Preprint</v>
      </c>
      <c r="D103" s="4" t="str">
        <f t="shared" si="16"/>
        <v>Bundibugyo</v>
      </c>
      <c r="E103" s="4" t="str">
        <f t="shared" si="17"/>
        <v>Yes</v>
      </c>
      <c r="F103" s="4" t="str">
        <f t="shared" si="18"/>
        <v/>
      </c>
      <c r="G103" s="4" t="str">
        <f t="shared" si="19"/>
        <v/>
      </c>
      <c r="H103" s="4" t="str">
        <f t="shared" si="20"/>
        <v/>
      </c>
      <c r="I103" s="4" t="str">
        <f t="shared" si="21"/>
        <v/>
      </c>
      <c r="J103" s="5" t="str">
        <f t="shared" si="22"/>
        <v/>
      </c>
      <c r="K103" s="5" t="str">
        <f t="shared" si="23"/>
        <v/>
      </c>
      <c r="N103" s="2" t="str">
        <f t="shared" si="24"/>
        <v>https://doi.org/10.20944/preprints202606.0743.v1</v>
      </c>
      <c r="O103" s="20">
        <v>346</v>
      </c>
      <c r="P103" s="20" t="s">
        <v>1380</v>
      </c>
      <c r="Q103" s="20" t="s">
        <v>819</v>
      </c>
      <c r="R103" s="20" t="s">
        <v>820</v>
      </c>
      <c r="S103" s="20" t="s">
        <v>821</v>
      </c>
      <c r="T103" s="20" t="s">
        <v>266</v>
      </c>
      <c r="U103" s="2"/>
      <c r="V103" s="20">
        <v>2</v>
      </c>
      <c r="W103" s="2"/>
      <c r="X103" s="20" t="s">
        <v>822</v>
      </c>
      <c r="Y103" s="2"/>
      <c r="Z103" s="20" t="s">
        <v>21</v>
      </c>
      <c r="AA103" s="2"/>
      <c r="AB103" s="2"/>
      <c r="AC103" s="2"/>
      <c r="AD103" s="20" t="s">
        <v>352</v>
      </c>
      <c r="AE103" s="2"/>
      <c r="AF103" s="20" t="s">
        <v>270</v>
      </c>
      <c r="AG103" s="2"/>
      <c r="AH103" s="2"/>
      <c r="AI103" s="20" t="s">
        <v>353</v>
      </c>
      <c r="AJ103" s="2"/>
      <c r="AK103" s="20" t="s">
        <v>346</v>
      </c>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row>
    <row r="104" spans="1:297" ht="60" customHeight="1" x14ac:dyDescent="0.25">
      <c r="A104" s="5" t="str">
        <f t="shared" si="13"/>
        <v xml:space="preserve">WHO, (2026) </v>
      </c>
      <c r="B104" s="3" t="str">
        <f t="shared" si="14"/>
        <v>WHO guidelines for the clinical management of filovirus disease: executive summary</v>
      </c>
      <c r="C104" s="4" t="str">
        <f t="shared" si="15"/>
        <v>Guideline, Government report</v>
      </c>
      <c r="D104" s="4" t="str">
        <f t="shared" si="16"/>
        <v>Bundibugyo</v>
      </c>
      <c r="E104" s="4" t="str">
        <f t="shared" si="17"/>
        <v>Yes</v>
      </c>
      <c r="F104" s="4" t="str">
        <f t="shared" si="18"/>
        <v>The guidelines address key clinical interventions to improve outcomes for patients with suspected or confirmed filovirus disease. Recommendations cover systematic clinical and laboratory monitoring, oral and intravenous fluid management, assessment and treatment of shock, use of vasopressors, central venous access, antimicrobial therapy, management of haemorrhage and postpartum haemorrhage, and structured follow-up for survivors. Emphasis is placed on high-quality supportive care, individualized clinical decision-making and integration with infection prevention and control measures.</v>
      </c>
      <c r="G104" s="4" t="str">
        <f t="shared" si="19"/>
        <v/>
      </c>
      <c r="H104" s="4" t="str">
        <f t="shared" si="20"/>
        <v/>
      </c>
      <c r="I104" s="4" t="str">
        <f t="shared" si="21"/>
        <v/>
      </c>
      <c r="J104" s="5" t="str">
        <f t="shared" si="22"/>
        <v/>
      </c>
      <c r="K104" s="5" t="str">
        <f t="shared" si="23"/>
        <v/>
      </c>
      <c r="N104" s="2" t="str">
        <f t="shared" si="24"/>
        <v>https://www.who.int/publications/i/item/B09786</v>
      </c>
      <c r="O104" s="20">
        <v>351</v>
      </c>
      <c r="P104" s="20" t="s">
        <v>1362</v>
      </c>
      <c r="Q104" s="20" t="s">
        <v>823</v>
      </c>
      <c r="R104" s="2"/>
      <c r="S104" s="20" t="s">
        <v>824</v>
      </c>
      <c r="T104" s="20" t="s">
        <v>266</v>
      </c>
      <c r="U104" s="2"/>
      <c r="V104" s="20">
        <v>2</v>
      </c>
      <c r="W104" s="2"/>
      <c r="X104" s="20" t="s">
        <v>824</v>
      </c>
      <c r="Y104" s="2"/>
      <c r="Z104" s="20" t="s">
        <v>21</v>
      </c>
      <c r="AA104" s="2"/>
      <c r="AB104" s="2"/>
      <c r="AC104" s="2"/>
      <c r="AD104" s="20" t="s">
        <v>352</v>
      </c>
      <c r="AE104" s="2"/>
      <c r="AF104" s="20" t="s">
        <v>270</v>
      </c>
      <c r="AG104" s="2"/>
      <c r="AH104" s="2"/>
      <c r="AI104" s="20" t="s">
        <v>437</v>
      </c>
      <c r="AJ104" s="2"/>
      <c r="AK104" s="20" t="s">
        <v>438</v>
      </c>
      <c r="AL104" s="2"/>
      <c r="AM104" s="20" t="s">
        <v>825</v>
      </c>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row>
    <row r="105" spans="1:297" ht="60" customHeight="1" x14ac:dyDescent="0.25">
      <c r="A105" s="5" t="str">
        <f t="shared" si="13"/>
        <v xml:space="preserve">PAHO, (2026) </v>
      </c>
      <c r="B105" s="3" t="str">
        <f t="shared" si="14"/>
        <v>Public health risk assessment related to Ebola disease due to Bundibugyo virus: implications for the Americas Region. 18 June 2026</v>
      </c>
      <c r="C105" s="4" t="str">
        <f t="shared" si="15"/>
        <v>Risk Assessment, Other grey literature report</v>
      </c>
      <c r="D105" s="4" t="str">
        <f t="shared" si="16"/>
        <v>Bundibugyo</v>
      </c>
      <c r="E105" s="4" t="str">
        <f t="shared" si="17"/>
        <v>Yes</v>
      </c>
      <c r="F105" s="4" t="str">
        <f t="shared" si="18"/>
        <v>This risk assessment is based on data available as of 7 June 2026 (Uganda) and 6 June 2026 (Democratic Republic of the Congo). The overall risk posed by this event to the Americas Region is classified as "Low" with a "High" confidence level based on the available information. The risk assessment will be reviewed if more epidemiological, clinical, or virological information becomes available.</v>
      </c>
      <c r="G105" s="4" t="str">
        <f t="shared" si="19"/>
        <v/>
      </c>
      <c r="H105" s="4" t="str">
        <f t="shared" si="20"/>
        <v/>
      </c>
      <c r="I105" s="4" t="str">
        <f t="shared" si="21"/>
        <v/>
      </c>
      <c r="J105" s="5" t="str">
        <f t="shared" si="22"/>
        <v/>
      </c>
      <c r="K105" s="5" t="str">
        <f t="shared" si="23"/>
        <v/>
      </c>
      <c r="N105" s="2" t="str">
        <f t="shared" si="24"/>
        <v>https://www.paho.org/en/documents/public-health-risk-assessment-related-ebola-disease-due-bundibugyo-virus-implications</v>
      </c>
      <c r="O105" s="20">
        <v>352</v>
      </c>
      <c r="P105" s="20" t="s">
        <v>1365</v>
      </c>
      <c r="Q105" s="20" t="s">
        <v>826</v>
      </c>
      <c r="R105" s="2"/>
      <c r="S105" s="20" t="s">
        <v>827</v>
      </c>
      <c r="T105" s="20" t="s">
        <v>266</v>
      </c>
      <c r="U105" s="2"/>
      <c r="V105" s="20">
        <v>2</v>
      </c>
      <c r="W105" s="2"/>
      <c r="X105" s="20" t="s">
        <v>827</v>
      </c>
      <c r="Y105" s="2"/>
      <c r="Z105" s="20" t="s">
        <v>21</v>
      </c>
      <c r="AA105" s="2"/>
      <c r="AB105" s="2"/>
      <c r="AC105" s="2"/>
      <c r="AD105" s="20" t="s">
        <v>352</v>
      </c>
      <c r="AE105" s="2"/>
      <c r="AF105" s="20" t="s">
        <v>270</v>
      </c>
      <c r="AG105" s="2"/>
      <c r="AH105" s="2"/>
      <c r="AI105" s="20" t="s">
        <v>306</v>
      </c>
      <c r="AJ105" s="2"/>
      <c r="AK105" s="20" t="s">
        <v>85</v>
      </c>
      <c r="AL105" s="2"/>
      <c r="AM105" s="20" t="s">
        <v>828</v>
      </c>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row>
    <row r="106" spans="1:297" ht="60" customHeight="1" x14ac:dyDescent="0.25">
      <c r="A106" s="5" t="str">
        <f t="shared" si="13"/>
        <v xml:space="preserve">ECDC, (2026) </v>
      </c>
      <c r="B106" s="3" t="str">
        <f t="shared" si="14"/>
        <v>Communicable disease threats report, 13 - 18 June 2026, Week 25</v>
      </c>
      <c r="C106" s="4" t="str">
        <f t="shared" si="15"/>
        <v>Other non-primary, Government report</v>
      </c>
      <c r="D106" s="4" t="str">
        <f t="shared" si="16"/>
        <v>Bundibugyo</v>
      </c>
      <c r="E106" s="4" t="str">
        <f t="shared" si="17"/>
        <v>Yes</v>
      </c>
      <c r="F106" s="4" t="str">
        <f t="shared" si="18"/>
        <v/>
      </c>
      <c r="G106" s="4" t="str">
        <f t="shared" si="19"/>
        <v/>
      </c>
      <c r="H106" s="4" t="str">
        <f t="shared" si="20"/>
        <v/>
      </c>
      <c r="I106" s="4" t="str">
        <f t="shared" si="21"/>
        <v/>
      </c>
      <c r="J106" s="5" t="str">
        <f t="shared" si="22"/>
        <v/>
      </c>
      <c r="K106" s="5" t="str">
        <f t="shared" si="23"/>
        <v/>
      </c>
      <c r="N106" s="2" t="str">
        <f t="shared" si="24"/>
        <v>https://www.ecdc.europa.eu/en/publications-data/communicable-disease-threats-report-13-18-june-2026-week-25</v>
      </c>
      <c r="O106" s="20">
        <v>353</v>
      </c>
      <c r="P106" s="20" t="s">
        <v>1364</v>
      </c>
      <c r="Q106" s="20" t="s">
        <v>829</v>
      </c>
      <c r="R106" s="2"/>
      <c r="S106" s="20" t="s">
        <v>830</v>
      </c>
      <c r="T106" s="20" t="s">
        <v>266</v>
      </c>
      <c r="U106" s="2"/>
      <c r="V106" s="20">
        <v>2</v>
      </c>
      <c r="W106" s="2"/>
      <c r="X106" s="20" t="s">
        <v>830</v>
      </c>
      <c r="Y106" s="2"/>
      <c r="Z106" s="20" t="s">
        <v>21</v>
      </c>
      <c r="AA106" s="2"/>
      <c r="AB106" s="2"/>
      <c r="AC106" s="2"/>
      <c r="AD106" s="20" t="s">
        <v>352</v>
      </c>
      <c r="AE106" s="2"/>
      <c r="AF106" s="20" t="s">
        <v>270</v>
      </c>
      <c r="AG106" s="2"/>
      <c r="AH106" s="2"/>
      <c r="AI106" s="20" t="s">
        <v>437</v>
      </c>
      <c r="AJ106" s="2"/>
      <c r="AK106" s="20" t="s">
        <v>449</v>
      </c>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row>
    <row r="107" spans="1:297" ht="60" customHeight="1" x14ac:dyDescent="0.25">
      <c r="A107" s="5" t="str">
        <f t="shared" si="13"/>
        <v>Gupta, et al, (2026), Clinical Microbiology &amp; Infection</v>
      </c>
      <c r="B107" s="3" t="str">
        <f t="shared" si="14"/>
        <v>Bundibugyo Ebolavirus outbreak in the Democratic Republic of the Congo and Uganda: rapid assessment from the European Society of Clinical Microbiology and Infectious Diseases Emerging Infections Subcommittee</v>
      </c>
      <c r="C107" s="4" t="str">
        <f t="shared" si="15"/>
        <v>Commentary, Peer-reviewed publication</v>
      </c>
      <c r="D107" s="4" t="str">
        <f t="shared" si="16"/>
        <v>Bundibugyo</v>
      </c>
      <c r="E107" s="4" t="str">
        <f t="shared" si="17"/>
        <v>Yes</v>
      </c>
      <c r="F107" s="4" t="str">
        <f t="shared" si="18"/>
        <v/>
      </c>
      <c r="G107" s="4" t="str">
        <f t="shared" si="19"/>
        <v/>
      </c>
      <c r="H107" s="4" t="str">
        <f t="shared" si="20"/>
        <v/>
      </c>
      <c r="I107" s="4" t="str">
        <f t="shared" si="21"/>
        <v/>
      </c>
      <c r="J107" s="5" t="str">
        <f t="shared" si="22"/>
        <v/>
      </c>
      <c r="K107" s="5" t="str">
        <f t="shared" si="23"/>
        <v/>
      </c>
      <c r="N107" s="2" t="str">
        <f t="shared" si="24"/>
        <v>https://doi.org/10.1016/j.cmi.2026.05.042</v>
      </c>
      <c r="O107" s="20">
        <v>357</v>
      </c>
      <c r="P107" s="20" t="s">
        <v>497</v>
      </c>
      <c r="Q107" s="20" t="s">
        <v>831</v>
      </c>
      <c r="R107" s="20" t="s">
        <v>499</v>
      </c>
      <c r="S107" s="20" t="s">
        <v>832</v>
      </c>
      <c r="T107" s="20" t="s">
        <v>266</v>
      </c>
      <c r="U107" s="2"/>
      <c r="V107" s="20">
        <v>2</v>
      </c>
      <c r="W107" s="2"/>
      <c r="X107" s="20" t="s">
        <v>501</v>
      </c>
      <c r="Y107" s="2"/>
      <c r="Z107" s="20" t="s">
        <v>21</v>
      </c>
      <c r="AA107" s="2"/>
      <c r="AB107" s="2"/>
      <c r="AC107" s="2"/>
      <c r="AD107" s="20" t="s">
        <v>352</v>
      </c>
      <c r="AE107" s="2"/>
      <c r="AF107" s="20" t="s">
        <v>270</v>
      </c>
      <c r="AG107" s="2"/>
      <c r="AH107" s="2"/>
      <c r="AI107" s="20" t="s">
        <v>271</v>
      </c>
      <c r="AJ107" s="2"/>
      <c r="AK107" s="20" t="s">
        <v>425</v>
      </c>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row>
    <row r="108" spans="1:297" ht="60" customHeight="1" x14ac:dyDescent="0.25">
      <c r="A108" s="5" t="str">
        <f t="shared" si="13"/>
        <v>van Zandvoort, et al, (2026), Euro Surveillance: Bulletin Europeen sur les Maladies Transmissibles = European Communicable Disease Bulletin</v>
      </c>
      <c r="B108" s="3" t="str">
        <f t="shared" si="14"/>
        <v>The risk of global Ebola virus spread is low: epidemiology of Ebola disease cases outside Africa, 1976 to May 2026</v>
      </c>
      <c r="C108" s="4" t="str">
        <f t="shared" si="15"/>
        <v>Primary - article, Observational, Other grey literature report</v>
      </c>
      <c r="D108" s="4" t="str">
        <f t="shared" si="16"/>
        <v>Bundibugyo</v>
      </c>
      <c r="E108" s="4" t="str">
        <f t="shared" si="17"/>
        <v>Yes</v>
      </c>
      <c r="F108" s="4" t="str">
        <f t="shared" si="18"/>
        <v>This study assessed global Ebola transmission by evaluating 28 confirmed Ebola cases outside of Africa (25 primary imported cases and three secondary cases in the US or Europe) of which 27 occurred in 2014-2016 and one case in May 2026. The crude overall risk of exportation was 0.81 cases per 1000 Ebola cases outside of Africa including medically evacuated, latent and secondary cases.  The four latent cases from 300,000 were asymptomatic at screening at exit and entry, suggesting clear guidance on self-monitoring of symptoms for rapid isolation.</v>
      </c>
      <c r="G108" s="4" t="str">
        <f t="shared" si="19"/>
        <v>Infection risk factors; Size or Duration estimate; Mortality; Hospitalizations; Other clinical data; Border measure - PHM</v>
      </c>
      <c r="H108" s="4" t="str">
        <f t="shared" si="20"/>
        <v>Human - General population, Human - Healthcare workers</v>
      </c>
      <c r="I108" s="4" t="str">
        <f t="shared" si="21"/>
        <v/>
      </c>
      <c r="J108" s="5" t="str">
        <f t="shared" si="22"/>
        <v>PHM- BORDER MEASURES:
 The four latent cases identified occurred among 300,000 travellers screened by the US Centers for Disease Control and Prevention (CDC)-supported exit screening programmes in Guinea, Liberia and Sierra Leone, and all were asymptomatic (and hence undetectable) at the point of both exit screening and entry screening. Screening protocols included clear guidance on procedures for self-monitoring of symptoms [9], which ultimately led to rapid confirmation and isolation among the three latent cases in medical workers.
CLINICAL DATA: The study identified four latent Ebola cases exported during the 2014–16 epidemic, all initially asymptomatic at screening but later presenting with acute symptoms (fever, respiratory distress, weakness) that required hospitalization. These cases highlight the challenge of early detection, as three were healthcare workers who self-isolated upon symptom onset, while one traveler was misdiagnosed initially. In Europe, 17 confirmed Ebola cases were found since 1976 of whom, 16 occurred during the 2014-2016 Ebola disease epidemic and one during the 2026 Bundibugyo virus epidemic. In North America, 11 confirmed Ebola cases were identified since 1976 and all 11 cases occurred during the 2014-16 Ebola epidemic. Overall, of the 28 confirmed Ebola disease cases, five died. All three secondary cases were due to nosocomial infection of healthcare workers treating a known Ebola disease patient.
Epidemiological Parameter - RISK FACTORS FOR INFECTION: Of the 28 confirmed cases identified, three secondary cases were due to nosocomial infection of healthcare workers treating a known Ebola disease patient. 
The vast majority of Ebola cases outside Africa (27 of 28) were either primary cases in individuals with occupational/exposure-related roles (e.g., healthcare workers, responders) or secondary cases in healthcare workers treating imported patients. Only one case occurred in a traveler without such exposure, which is concerning as it led to further transmission. However, the overall risk of exportation remains low and can be effectively reduced through infection control measures, travel screening, and monitoring of response workers, as aligned with WHO guidelines.
Epidemiological Parameter - ESTIMATES FOR OUTBREAK SIZE AND DURATION:
 The authors calculated a crude risk estimate of 0.81 cases outside Africa, including medically evacuated, latent and secondary cases, per 1,000 Ebola disease cases in a source outbreak.  Focusing on latent cases and their secondary cases only, there have been 0.17 cases outside Africa per 1,000 Ebola disease cases in the source outbreak. 
For cases exported from the 2014–16 epidemic in Western Africa, we carried out a time-varying risk analysis using Poisson regression of the number of exported cases for a given epidemiological week and country. Over the course of the epidemic, the case exportation risk per reported source outbreak case decreased by 4.6% per week (95% CI: 1.7–7.4%; p = 0.0097). More generally, the case exportation risk was substantially lower after the epidemic peak (0.46; 95% CI: 0.17–0.73 exported cases per 1,000 source cases from 27 October 2014 onwards) than it was before the peak (1.7; 95% CI: 0.95–2.7 exported cases per 1,000 source cases). This represents a 73% reduction in exportation risk per outbreak case between these two periods.</v>
      </c>
      <c r="K108" s="5" t="str">
        <f t="shared" si="23"/>
        <v>Researchers used manual and AI-assisted internet searches to identify all laboratory-confirmed Ebola cases outside Africa, reviewing scientific articles, public health bulletins, and news reports to compile data from 27 studies, 9 bulletins, 82 news articles, and 9 other sources. The study included only confirmed cases of Bundibugyo, Ebola, and Sudan virus infections, excluding suspected cases, lab-acquired injuries, and Reston virus infections, to focus on epidemiologically relevant human transmissions.</v>
      </c>
      <c r="N108" s="2" t="str">
        <f t="shared" si="24"/>
        <v>https://doi.org/10.2807/1560-7917.ES.2026.31.24.2600508</v>
      </c>
      <c r="O108" s="20">
        <v>360</v>
      </c>
      <c r="P108" s="20" t="s">
        <v>833</v>
      </c>
      <c r="Q108" s="20" t="s">
        <v>834</v>
      </c>
      <c r="R108" s="20" t="s">
        <v>835</v>
      </c>
      <c r="S108" s="20" t="s">
        <v>836</v>
      </c>
      <c r="T108" s="20" t="s">
        <v>266</v>
      </c>
      <c r="U108" s="2"/>
      <c r="V108" s="20" t="s">
        <v>267</v>
      </c>
      <c r="W108" s="2"/>
      <c r="X108" s="20" t="s">
        <v>837</v>
      </c>
      <c r="Y108" s="2"/>
      <c r="Z108" s="20" t="s">
        <v>21</v>
      </c>
      <c r="AA108" s="2"/>
      <c r="AB108" s="2"/>
      <c r="AC108" s="2"/>
      <c r="AD108" s="20" t="s">
        <v>352</v>
      </c>
      <c r="AE108" s="2"/>
      <c r="AF108" s="20" t="s">
        <v>270</v>
      </c>
      <c r="AG108" s="2"/>
      <c r="AH108" s="2"/>
      <c r="AI108" s="20" t="s">
        <v>306</v>
      </c>
      <c r="AJ108" s="2"/>
      <c r="AK108" s="20" t="s">
        <v>272</v>
      </c>
      <c r="AL108" s="2"/>
      <c r="AM108" s="2"/>
      <c r="AN108" s="2"/>
      <c r="AO108" s="2"/>
      <c r="AP108" s="20" t="s">
        <v>838</v>
      </c>
      <c r="AQ108" s="2"/>
      <c r="AR108" s="20" t="s">
        <v>37</v>
      </c>
      <c r="AS108" s="2"/>
      <c r="AT108" s="2"/>
      <c r="AU108" s="2"/>
      <c r="AV108" s="2"/>
      <c r="AW108" s="2"/>
      <c r="AX108" s="2"/>
      <c r="AY108" s="2"/>
      <c r="AZ108" s="2"/>
      <c r="BA108" s="2"/>
      <c r="BB108" s="2"/>
      <c r="BC108" s="2"/>
      <c r="BD108" s="2"/>
      <c r="BE108" s="2"/>
      <c r="BF108" s="2"/>
      <c r="BG108" s="2"/>
      <c r="BH108" s="20" t="s">
        <v>53</v>
      </c>
      <c r="BI108" s="2"/>
      <c r="BJ108" s="2"/>
      <c r="BK108" s="2"/>
      <c r="BL108" s="2"/>
      <c r="BM108" s="2"/>
      <c r="BN108" s="2"/>
      <c r="BO108" s="2"/>
      <c r="BP108" s="2"/>
      <c r="BQ108" s="2"/>
      <c r="BR108" s="2"/>
      <c r="BS108" s="2"/>
      <c r="BT108" s="2"/>
      <c r="BU108" s="2"/>
      <c r="BV108" s="2"/>
      <c r="BW108" s="2"/>
      <c r="BX108" s="2"/>
      <c r="BY108" s="2"/>
      <c r="BZ108" s="2"/>
      <c r="CA108" s="2"/>
      <c r="CB108" s="2"/>
      <c r="CC108" s="2"/>
      <c r="CD108" s="20" t="s">
        <v>75</v>
      </c>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0" t="s">
        <v>73</v>
      </c>
      <c r="DW108" s="2"/>
      <c r="DX108" s="2"/>
      <c r="DY108" s="2"/>
      <c r="DZ108" s="2"/>
      <c r="EA108" s="2"/>
      <c r="EB108" s="20" t="s">
        <v>121</v>
      </c>
      <c r="EC108" s="2"/>
      <c r="ED108" s="2"/>
      <c r="EE108" s="2"/>
      <c r="EF108" s="2"/>
      <c r="EG108" s="2"/>
      <c r="EH108" s="2"/>
      <c r="EI108" s="2"/>
      <c r="EJ108" s="2"/>
      <c r="EK108" s="2"/>
      <c r="EL108" s="2"/>
      <c r="EM108" s="2"/>
      <c r="EN108" s="2"/>
      <c r="EO108" s="2"/>
      <c r="EP108" s="20" t="s">
        <v>135</v>
      </c>
      <c r="EQ108" s="2"/>
      <c r="ER108" s="2"/>
      <c r="ES108" s="2"/>
      <c r="ET108" s="2"/>
      <c r="EU108" s="2"/>
      <c r="EV108" s="2"/>
      <c r="EW108" s="2"/>
      <c r="EX108" s="2"/>
      <c r="EY108" s="2"/>
      <c r="EZ108" s="2"/>
      <c r="FA108" s="2"/>
      <c r="FB108" s="2"/>
      <c r="FC108" s="2"/>
      <c r="FD108" s="2"/>
      <c r="FE108" s="2"/>
      <c r="FF108" s="20" t="s">
        <v>149</v>
      </c>
      <c r="FG108" s="2"/>
      <c r="FH108" s="20" t="s">
        <v>151</v>
      </c>
      <c r="FI108" s="2"/>
      <c r="FJ108" s="2"/>
      <c r="FK108" s="2"/>
      <c r="FL108" s="2"/>
      <c r="FM108" s="2"/>
      <c r="FN108" s="2"/>
      <c r="FO108" s="2"/>
      <c r="FP108" s="20" t="s">
        <v>159</v>
      </c>
      <c r="FQ108" s="2"/>
      <c r="FR108" s="2"/>
      <c r="FS108" s="2"/>
      <c r="FT108" s="2"/>
      <c r="FU108" s="2"/>
      <c r="FV108" s="2"/>
      <c r="FW108" s="2"/>
      <c r="FX108" s="2"/>
      <c r="FY108" s="2"/>
      <c r="FZ108" s="2"/>
      <c r="GA108" s="2"/>
      <c r="GB108" s="2"/>
      <c r="GC108" s="2"/>
      <c r="GD108" s="2"/>
      <c r="GE108" s="2"/>
      <c r="GF108" s="20" t="s">
        <v>73</v>
      </c>
      <c r="GG108" s="2"/>
      <c r="GH108" s="2"/>
      <c r="GI108" s="2"/>
      <c r="GJ108" s="2"/>
      <c r="GK108" s="2"/>
      <c r="GL108" s="2"/>
      <c r="GM108" s="2"/>
      <c r="GN108" s="2"/>
      <c r="GO108" s="2"/>
      <c r="GP108" s="20" t="s">
        <v>73</v>
      </c>
      <c r="GQ108" s="2"/>
      <c r="GR108" s="2"/>
      <c r="GS108" s="2"/>
      <c r="GT108" s="2"/>
      <c r="GU108" s="2"/>
      <c r="GV108" s="2"/>
      <c r="GW108" s="2"/>
      <c r="GX108" s="2"/>
      <c r="GY108" s="2"/>
      <c r="GZ108" s="20" t="s">
        <v>189</v>
      </c>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0" t="s">
        <v>73</v>
      </c>
      <c r="IC108" s="2"/>
      <c r="ID108" s="2"/>
      <c r="IE108" s="2"/>
      <c r="IF108" s="2"/>
      <c r="IG108" s="2"/>
      <c r="IH108" s="2"/>
      <c r="II108" s="2"/>
      <c r="IJ108" s="20" t="s">
        <v>73</v>
      </c>
      <c r="IK108" s="2"/>
      <c r="IL108" s="2"/>
      <c r="IM108" s="2"/>
      <c r="IN108" s="2"/>
      <c r="IO108" s="2"/>
      <c r="IP108" s="2"/>
      <c r="IQ108" s="2"/>
      <c r="IR108" s="2"/>
      <c r="IS108" s="2"/>
      <c r="IT108" s="20" t="s">
        <v>73</v>
      </c>
      <c r="IU108" s="2"/>
      <c r="IV108" s="2"/>
      <c r="IW108" s="2"/>
      <c r="IX108" s="20" t="s">
        <v>73</v>
      </c>
      <c r="IY108" s="2"/>
      <c r="IZ108" s="2"/>
      <c r="JA108" s="2"/>
      <c r="JB108" s="20" t="s">
        <v>73</v>
      </c>
      <c r="JC108" s="2"/>
      <c r="JD108" s="2"/>
      <c r="JE108" s="2"/>
      <c r="JF108" s="20" t="s">
        <v>73</v>
      </c>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0" t="s">
        <v>73</v>
      </c>
      <c r="KG108" s="2"/>
      <c r="KH108" s="20" t="s">
        <v>839</v>
      </c>
      <c r="KI108" s="2"/>
      <c r="KJ108" s="20" t="s">
        <v>840</v>
      </c>
      <c r="KK108" s="2"/>
    </row>
    <row r="109" spans="1:297" ht="60" customHeight="1" x14ac:dyDescent="0.25">
      <c r="A109" s="5" t="str">
        <f t="shared" si="13"/>
        <v xml:space="preserve">Bhadelia, et al, (2026) </v>
      </c>
      <c r="B109" s="3" t="str">
        <f t="shared" si="14"/>
        <v>Bundibugyo virus outbreak: when a concerning pathogen meets a humanitarian emergency</v>
      </c>
      <c r="C109" s="4" t="str">
        <f t="shared" si="15"/>
        <v>News, Other grey literature report</v>
      </c>
      <c r="D109" s="4" t="str">
        <f t="shared" si="16"/>
        <v>Bundibugyo</v>
      </c>
      <c r="E109" s="4" t="str">
        <f t="shared" si="17"/>
        <v>Yes</v>
      </c>
      <c r="F109" s="4" t="str">
        <f t="shared" si="18"/>
        <v/>
      </c>
      <c r="G109" s="4" t="str">
        <f t="shared" si="19"/>
        <v/>
      </c>
      <c r="H109" s="4" t="str">
        <f t="shared" si="20"/>
        <v/>
      </c>
      <c r="I109" s="4" t="str">
        <f t="shared" si="21"/>
        <v/>
      </c>
      <c r="J109" s="5" t="str">
        <f t="shared" si="22"/>
        <v/>
      </c>
      <c r="K109" s="5" t="str">
        <f t="shared" si="23"/>
        <v/>
      </c>
      <c r="N109" s="2" t="str">
        <f t="shared" si="24"/>
        <v>https://doi.org/10.1038/s41579-026-01332-9</v>
      </c>
      <c r="O109" s="20">
        <v>362</v>
      </c>
      <c r="P109" s="20" t="s">
        <v>1381</v>
      </c>
      <c r="Q109" s="20" t="s">
        <v>841</v>
      </c>
      <c r="R109" s="20" t="s">
        <v>842</v>
      </c>
      <c r="S109" s="20" t="s">
        <v>843</v>
      </c>
      <c r="T109" s="20" t="s">
        <v>266</v>
      </c>
      <c r="U109" s="2"/>
      <c r="V109" s="20">
        <v>2</v>
      </c>
      <c r="W109" s="2"/>
      <c r="X109" s="20" t="s">
        <v>844</v>
      </c>
      <c r="Y109" s="2"/>
      <c r="Z109" s="20" t="s">
        <v>21</v>
      </c>
      <c r="AA109" s="2"/>
      <c r="AB109" s="2"/>
      <c r="AC109" s="2"/>
      <c r="AD109" s="20" t="s">
        <v>352</v>
      </c>
      <c r="AE109" s="2"/>
      <c r="AF109" s="20" t="s">
        <v>270</v>
      </c>
      <c r="AG109" s="2"/>
      <c r="AH109" s="2"/>
      <c r="AI109" s="20" t="s">
        <v>306</v>
      </c>
      <c r="AJ109" s="2"/>
      <c r="AK109" s="20" t="s">
        <v>307</v>
      </c>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row>
    <row r="110" spans="1:297" ht="60" customHeight="1" x14ac:dyDescent="0.25">
      <c r="A110" s="5" t="str">
        <f t="shared" si="13"/>
        <v>Lancet, et al, (2026), The Lancet</v>
      </c>
      <c r="B110" s="3" t="str">
        <f t="shared" si="14"/>
        <v>Responding to Ebola: a test</v>
      </c>
      <c r="C110" s="4" t="str">
        <f t="shared" si="15"/>
        <v>Commentary, Peer-reviewed publication</v>
      </c>
      <c r="D110" s="4" t="str">
        <f t="shared" si="16"/>
        <v>Bundibugyo</v>
      </c>
      <c r="E110" s="4" t="str">
        <f t="shared" si="17"/>
        <v>Yes</v>
      </c>
      <c r="F110" s="4" t="str">
        <f t="shared" si="18"/>
        <v/>
      </c>
      <c r="G110" s="4" t="str">
        <f t="shared" si="19"/>
        <v/>
      </c>
      <c r="H110" s="4" t="str">
        <f t="shared" si="20"/>
        <v/>
      </c>
      <c r="I110" s="4" t="str">
        <f t="shared" si="21"/>
        <v/>
      </c>
      <c r="J110" s="5" t="str">
        <f t="shared" si="22"/>
        <v/>
      </c>
      <c r="K110" s="5" t="str">
        <f t="shared" si="23"/>
        <v/>
      </c>
      <c r="N110" s="2" t="str">
        <f t="shared" si="24"/>
        <v>https://doi.org/10.1016/S0140-6736</v>
      </c>
      <c r="O110" s="20">
        <v>370</v>
      </c>
      <c r="P110" s="20" t="s">
        <v>845</v>
      </c>
      <c r="Q110" s="20" t="s">
        <v>846</v>
      </c>
      <c r="R110" s="20" t="s">
        <v>847</v>
      </c>
      <c r="S110" s="20" t="s">
        <v>848</v>
      </c>
      <c r="T110" s="20" t="s">
        <v>266</v>
      </c>
      <c r="U110" s="2"/>
      <c r="V110" s="20">
        <v>2</v>
      </c>
      <c r="W110" s="2"/>
      <c r="X110" s="20" t="s">
        <v>849</v>
      </c>
      <c r="Y110" s="2"/>
      <c r="Z110" s="20" t="s">
        <v>21</v>
      </c>
      <c r="AA110" s="2"/>
      <c r="AB110" s="2"/>
      <c r="AC110" s="2"/>
      <c r="AD110" s="20" t="s">
        <v>352</v>
      </c>
      <c r="AE110" s="2"/>
      <c r="AF110" s="20" t="s">
        <v>270</v>
      </c>
      <c r="AG110" s="2"/>
      <c r="AH110" s="2"/>
      <c r="AI110" s="20" t="s">
        <v>271</v>
      </c>
      <c r="AJ110" s="2"/>
      <c r="AK110" s="20" t="s">
        <v>425</v>
      </c>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row>
    <row r="111" spans="1:297" ht="60" customHeight="1" x14ac:dyDescent="0.25">
      <c r="A111" s="5" t="str">
        <f t="shared" si="13"/>
        <v xml:space="preserve">Schmidt-Sane, et al, (2026) </v>
      </c>
      <c r="B111" s="3" t="str">
        <f t="shared" si="14"/>
        <v>Recommendations: Rapid Synthesis of Social and Behavioural Science learnings on Ebola for the Bundibugyo Virus Outbreak (2026) Ituri, DRC</v>
      </c>
      <c r="C111" s="4" t="str">
        <f t="shared" si="15"/>
        <v>Other evidence synthesis, Other grey literature report</v>
      </c>
      <c r="D111" s="4" t="str">
        <f t="shared" si="16"/>
        <v>Bundibugyo</v>
      </c>
      <c r="E111" s="4" t="str">
        <f t="shared" si="17"/>
        <v>Yes</v>
      </c>
      <c r="F111" s="4" t="str">
        <f t="shared" si="18"/>
        <v>This briefing outlines key considerations and recommendations drawn from a rapid synthesis of lessons learned from prior social and behavioural science (SBS) research highlighting that Ebola response in Ituri must prioritize trust-building by addressing historical grievances and avoiding coercive tactics, with tailored infection prevention, contact tracing, and border management that respect local social networks and languages. Additionally, emphasis is placed on effective community engagement, which requires partnering with trusted leaders, vulnerable groups, and high-risk occupations (e.g., boda boda drivers) while adapting safe burials and risk communication to cultural contexts and actionable, multilingual guidance.</v>
      </c>
      <c r="G111" s="4" t="str">
        <f t="shared" si="19"/>
        <v>KAB and uptake; Quarantine - PHM; Border measure - PHM; Workflow guidance - IPC; Indirect -  lifestyle</v>
      </c>
      <c r="H111" s="4" t="str">
        <f t="shared" si="20"/>
        <v>Human - General population</v>
      </c>
      <c r="I111" s="4" t="str">
        <f t="shared" si="21"/>
        <v/>
      </c>
      <c r="J111" s="5" t="str">
        <f t="shared" si="22"/>
        <v>Public Health Measures: Border communities between DRC and neighboring countries are deeply interconnected, with daily cross-border movement for essential activities like farming, water collection, market access, and healthcare which is driven by perceived better health services in Uganda. Past messaging restricting border crossings pushed people toward riskier, undetectable routes (panya routes), while boda boda taxi drivers and informal trade networks (including state-involved smuggling) continue to facilitate movement, even after Uganda’s shutdown of lake border crossings, which persist informally via unregulated points. Community networks can improve early disease detection and access to care; past evidence shows cases were referred to an integrated treatment centre with EVD testing and isolation. 
Infection Prevention and Control (IPC) - General workflow guidance: IPC guidance needs to be  in community health facilities, where health worker fatalities have occurred, and extended to caregivers and high-risk groups like boda boda drivers and market vendors. In eastern DRC, heightened fear among these public-facing occupations requires actionable, tailored IPC measures that prioritize safety without stigmatization, addressing their unique risks while maintaining community trust.
Indirect impacts - Social (lifestyle/behavior changes): Past SBS research in eastern DRC on Ebola outbreaks has shown an ‘atmosphere of mistrust’ in interactions between responders and communities, rooted in historical grievances like colonial violence, perceived humanitarian exploitation, and political manipulation (e.g., "Ebola as a business" during the 2018–20 outbreak). This mistrust is fueled by inconsistent resource allocation, contested authority, and unmet humanitarian needs during non-epidemic periods, making fear-based or context-blind responses likely to fail. However, SBS research demonstrates that localized, trust-building actions such as family-inclusive treatment centers, respectful burials, and media engagement with trusted community figures can humanize the response and foster cooperation</v>
      </c>
      <c r="K111" s="5" t="str">
        <f t="shared" si="23"/>
        <v>The authors conducted a rapid synthesis including lessons learned from prior Ebola social and behavioural science (SBS) research and highlights critical insights for response efforts. It highlights critical insights for locally adapted and contextually informed response efforts that take account of the broader humanitarian crisis.</v>
      </c>
      <c r="N111" s="2" t="str">
        <f t="shared" si="24"/>
        <v>https://www.socialscienceinaction.org/resources/recommendations-rapid-synthesis-of-social-and-behavioural-science-learnings-on-ebola-for-the-bundibugyo-virus-outbreak-2026-ituri-drc/</v>
      </c>
      <c r="O111" s="20">
        <v>388</v>
      </c>
      <c r="P111" s="20" t="s">
        <v>1382</v>
      </c>
      <c r="Q111" s="20" t="s">
        <v>850</v>
      </c>
      <c r="R111" s="2"/>
      <c r="S111" s="20" t="s">
        <v>851</v>
      </c>
      <c r="T111" s="20" t="s">
        <v>266</v>
      </c>
      <c r="U111" s="2"/>
      <c r="V111" s="20" t="s">
        <v>267</v>
      </c>
      <c r="W111" s="2"/>
      <c r="X111" s="20" t="s">
        <v>851</v>
      </c>
      <c r="Y111" s="2"/>
      <c r="Z111" s="20" t="s">
        <v>21</v>
      </c>
      <c r="AA111" s="2"/>
      <c r="AB111" s="2"/>
      <c r="AC111" s="2"/>
      <c r="AD111" s="20" t="s">
        <v>352</v>
      </c>
      <c r="AE111" s="2"/>
      <c r="AF111" s="20" t="s">
        <v>270</v>
      </c>
      <c r="AG111" s="2"/>
      <c r="AH111" s="2"/>
      <c r="AI111" s="20" t="s">
        <v>306</v>
      </c>
      <c r="AJ111" s="2"/>
      <c r="AK111" s="20" t="s">
        <v>354</v>
      </c>
      <c r="AL111" s="2"/>
      <c r="AM111" s="2"/>
      <c r="AN111" s="2"/>
      <c r="AO111" s="2"/>
      <c r="AP111" s="20" t="s">
        <v>852</v>
      </c>
      <c r="AQ111" s="2"/>
      <c r="AR111" s="20" t="s">
        <v>37</v>
      </c>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0" t="s">
        <v>73</v>
      </c>
      <c r="DA111" s="2"/>
      <c r="DB111" s="2"/>
      <c r="DC111" s="2"/>
      <c r="DD111" s="2"/>
      <c r="DE111" s="2"/>
      <c r="DF111" s="2"/>
      <c r="DG111" s="2"/>
      <c r="DH111" s="2"/>
      <c r="DI111" s="2"/>
      <c r="DJ111" s="2"/>
      <c r="DK111" s="2"/>
      <c r="DL111" s="2"/>
      <c r="DM111" s="2"/>
      <c r="DN111" s="2"/>
      <c r="DO111" s="2"/>
      <c r="DP111" s="2"/>
      <c r="DQ111" s="2"/>
      <c r="DR111" s="2"/>
      <c r="DS111" s="2"/>
      <c r="DT111" s="2"/>
      <c r="DU111" s="2"/>
      <c r="DV111" s="20" t="s">
        <v>73</v>
      </c>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0" t="s">
        <v>73</v>
      </c>
      <c r="EW111" s="2"/>
      <c r="EX111" s="2"/>
      <c r="EY111" s="2"/>
      <c r="EZ111" s="2"/>
      <c r="FA111" s="2"/>
      <c r="FB111" s="2"/>
      <c r="FC111" s="2"/>
      <c r="FD111" s="2"/>
      <c r="FE111" s="2"/>
      <c r="FF111" s="2"/>
      <c r="FG111" s="2"/>
      <c r="FH111" s="2"/>
      <c r="FI111" s="2"/>
      <c r="FJ111" s="2"/>
      <c r="FK111" s="2"/>
      <c r="FL111" s="2"/>
      <c r="FM111" s="2"/>
      <c r="FN111" s="2"/>
      <c r="FO111" s="2"/>
      <c r="FP111" s="2"/>
      <c r="FQ111" s="2"/>
      <c r="FR111" s="20" t="s">
        <v>73</v>
      </c>
      <c r="FS111" s="2"/>
      <c r="FT111" s="2"/>
      <c r="FU111" s="2"/>
      <c r="FV111" s="2"/>
      <c r="FW111" s="2"/>
      <c r="FX111" s="2"/>
      <c r="FY111" s="2"/>
      <c r="FZ111" s="2"/>
      <c r="GA111" s="2"/>
      <c r="GB111" s="2"/>
      <c r="GC111" s="2"/>
      <c r="GD111" s="2"/>
      <c r="GE111" s="2"/>
      <c r="GF111" s="20" t="s">
        <v>73</v>
      </c>
      <c r="GG111" s="2"/>
      <c r="GH111" s="20" t="s">
        <v>173</v>
      </c>
      <c r="GI111" s="2"/>
      <c r="GJ111" s="2"/>
      <c r="GK111" s="2"/>
      <c r="GL111" s="2"/>
      <c r="GM111" s="2"/>
      <c r="GN111" s="2"/>
      <c r="GO111" s="2"/>
      <c r="GP111" s="2"/>
      <c r="GQ111" s="2"/>
      <c r="GR111" s="2"/>
      <c r="GS111" s="2"/>
      <c r="GT111" s="2"/>
      <c r="GU111" s="2"/>
      <c r="GV111" s="20" t="s">
        <v>185</v>
      </c>
      <c r="GW111" s="2"/>
      <c r="GX111" s="2"/>
      <c r="GY111" s="2"/>
      <c r="GZ111" s="20" t="s">
        <v>189</v>
      </c>
      <c r="HA111" s="2"/>
      <c r="HB111" s="2"/>
      <c r="HC111" s="2"/>
      <c r="HD111" s="2"/>
      <c r="HE111" s="2"/>
      <c r="HF111" s="2"/>
      <c r="HG111" s="2"/>
      <c r="HH111" s="2"/>
      <c r="HI111" s="2"/>
      <c r="HJ111" s="2"/>
      <c r="HK111" s="2"/>
      <c r="HL111" s="2"/>
      <c r="HM111" s="2"/>
      <c r="HN111" s="20" t="s">
        <v>203</v>
      </c>
      <c r="HO111" s="2"/>
      <c r="HP111" s="2"/>
      <c r="HQ111" s="2"/>
      <c r="HR111" s="2"/>
      <c r="HS111" s="2"/>
      <c r="HT111" s="2"/>
      <c r="HU111" s="2"/>
      <c r="HV111" s="2"/>
      <c r="HW111" s="2"/>
      <c r="HX111" s="2"/>
      <c r="HY111" s="2"/>
      <c r="HZ111" s="2"/>
      <c r="IA111" s="2"/>
      <c r="IB111" s="20" t="s">
        <v>73</v>
      </c>
      <c r="IC111" s="2"/>
      <c r="ID111" s="2"/>
      <c r="IE111" s="2"/>
      <c r="IF111" s="2"/>
      <c r="IG111" s="2"/>
      <c r="IH111" s="2"/>
      <c r="II111" s="2"/>
      <c r="IJ111" s="20" t="s">
        <v>73</v>
      </c>
      <c r="IK111" s="2"/>
      <c r="IL111" s="2"/>
      <c r="IM111" s="2"/>
      <c r="IN111" s="2"/>
      <c r="IO111" s="2"/>
      <c r="IP111" s="2"/>
      <c r="IQ111" s="2"/>
      <c r="IR111" s="2"/>
      <c r="IS111" s="2"/>
      <c r="IT111" s="20" t="s">
        <v>73</v>
      </c>
      <c r="IU111" s="2"/>
      <c r="IV111" s="2"/>
      <c r="IW111" s="2"/>
      <c r="IX111" s="20" t="s">
        <v>73</v>
      </c>
      <c r="IY111" s="2"/>
      <c r="IZ111" s="2"/>
      <c r="JA111" s="2"/>
      <c r="JB111" s="20" t="s">
        <v>73</v>
      </c>
      <c r="JC111" s="2"/>
      <c r="JD111" s="2"/>
      <c r="JE111" s="2"/>
      <c r="JF111" s="20" t="s">
        <v>73</v>
      </c>
      <c r="JG111" s="2"/>
      <c r="JH111" s="2"/>
      <c r="JI111" s="2"/>
      <c r="JJ111" s="2"/>
      <c r="JK111" s="2"/>
      <c r="JL111" s="2"/>
      <c r="JM111" s="2"/>
      <c r="JN111" s="2"/>
      <c r="JO111" s="2"/>
      <c r="JP111" s="2"/>
      <c r="JQ111" s="2"/>
      <c r="JR111" s="2"/>
      <c r="JS111" s="2"/>
      <c r="JT111" s="2"/>
      <c r="JU111" s="2"/>
      <c r="JV111" s="2"/>
      <c r="JW111" s="2"/>
      <c r="JX111" s="2"/>
      <c r="JY111" s="2"/>
      <c r="JZ111" s="20" t="s">
        <v>253</v>
      </c>
      <c r="KA111" s="2"/>
      <c r="KB111" s="2"/>
      <c r="KC111" s="2"/>
      <c r="KD111" s="2"/>
      <c r="KE111" s="2"/>
      <c r="KF111" s="2"/>
      <c r="KG111" s="2"/>
      <c r="KH111" s="20" t="s">
        <v>853</v>
      </c>
      <c r="KI111" s="2"/>
      <c r="KJ111" s="20" t="s">
        <v>854</v>
      </c>
      <c r="KK111" s="2"/>
    </row>
    <row r="112" spans="1:297" ht="60" customHeight="1" x14ac:dyDescent="0.25">
      <c r="A112" s="5" t="str">
        <f t="shared" si="13"/>
        <v>MohammedAA, et al, (2026), Journal of Virus Eradication</v>
      </c>
      <c r="B112" s="3" t="str">
        <f t="shared" si="14"/>
        <v>Ebola Bundibugyo resurgence in eastern Democratic Republic of Congo: Implications for regional surveillance and preparedness</v>
      </c>
      <c r="C112" s="4" t="str">
        <f t="shared" si="15"/>
        <v>Commentary, Peer-reviewed publication</v>
      </c>
      <c r="D112" s="4" t="str">
        <f t="shared" si="16"/>
        <v>Bundibugyo</v>
      </c>
      <c r="E112" s="4" t="str">
        <f t="shared" si="17"/>
        <v>Yes</v>
      </c>
      <c r="F112" s="4" t="str">
        <f t="shared" si="18"/>
        <v/>
      </c>
      <c r="G112" s="4" t="str">
        <f t="shared" si="19"/>
        <v/>
      </c>
      <c r="H112" s="4" t="str">
        <f t="shared" si="20"/>
        <v/>
      </c>
      <c r="I112" s="4" t="str">
        <f t="shared" si="21"/>
        <v/>
      </c>
      <c r="J112" s="5" t="str">
        <f t="shared" si="22"/>
        <v/>
      </c>
      <c r="K112" s="5" t="str">
        <f t="shared" si="23"/>
        <v/>
      </c>
      <c r="N112" s="2" t="str">
        <f t="shared" si="24"/>
        <v>https://doi.org/10.1016/j.jve.2026.100630</v>
      </c>
      <c r="O112" s="20">
        <v>390</v>
      </c>
      <c r="P112" s="20" t="s">
        <v>855</v>
      </c>
      <c r="Q112" s="20" t="s">
        <v>856</v>
      </c>
      <c r="R112" s="20" t="s">
        <v>857</v>
      </c>
      <c r="S112" s="20" t="s">
        <v>858</v>
      </c>
      <c r="T112" s="20" t="s">
        <v>266</v>
      </c>
      <c r="U112" s="2"/>
      <c r="V112" s="20">
        <v>2</v>
      </c>
      <c r="W112" s="2"/>
      <c r="X112" s="20" t="s">
        <v>859</v>
      </c>
      <c r="Y112" s="2"/>
      <c r="Z112" s="20" t="s">
        <v>21</v>
      </c>
      <c r="AA112" s="2"/>
      <c r="AB112" s="2"/>
      <c r="AC112" s="2"/>
      <c r="AD112" s="20" t="s">
        <v>352</v>
      </c>
      <c r="AE112" s="2"/>
      <c r="AF112" s="20" t="s">
        <v>270</v>
      </c>
      <c r="AG112" s="2"/>
      <c r="AH112" s="2"/>
      <c r="AI112" s="20" t="s">
        <v>271</v>
      </c>
      <c r="AJ112" s="2"/>
      <c r="AK112" s="20" t="s">
        <v>425</v>
      </c>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row>
    <row r="113" spans="1:297" ht="60" customHeight="1" x14ac:dyDescent="0.25">
      <c r="A113" s="5" t="str">
        <f t="shared" si="13"/>
        <v>Fanelli, et al, (2026), Journal of travel medicine</v>
      </c>
      <c r="B113" s="3" t="str">
        <f t="shared" si="14"/>
        <v>Estimating importation risk of Bundibugyo Ebola virus disease to Europe under different outbreak expansion scenarios</v>
      </c>
      <c r="C113" s="4" t="str">
        <f t="shared" si="15"/>
        <v>Primary - short communication, Modeling, Peer-reviewed publication</v>
      </c>
      <c r="D113" s="4" t="str">
        <f t="shared" si="16"/>
        <v>Bundibugyo</v>
      </c>
      <c r="E113" s="4" t="str">
        <f t="shared" si="17"/>
        <v>Yes</v>
      </c>
      <c r="F113" s="4" t="str">
        <f t="shared" si="18"/>
        <v>This study is a published version of a preprint and it estimated the relative importation risk of Bundibugyo to Europe  through air travel under six different outbreak expansion scenarios.  Potential spread across the Ugandan border produced no change compared to the refence scenario. Expansion across the border to South Sudan produced a first structural increase in importation pressure through the connectivity associated to Juba (5-fold increase for Northern Europe and 6-fold increase for Eastern Europe relative to localized transmission in DRC). Hypothetical amplification in Kampala, Kigali, and Kinshasa substantially increased importation pressure (&gt;120 fold and 80 -fold) and reshaped exposure patterns across Europe.</v>
      </c>
      <c r="G113" s="4" t="str">
        <f t="shared" si="19"/>
        <v>Size or Duration estimate</v>
      </c>
      <c r="H113" s="4" t="str">
        <f t="shared" si="20"/>
        <v>Human - General population</v>
      </c>
      <c r="I113" s="4" t="str">
        <f t="shared" si="21"/>
        <v/>
      </c>
      <c r="J113" s="5" t="str">
        <f t="shared" si="22"/>
        <v>Epidemiological Parameters - ESTIMATES OF OUTBREAK SIZE: 
Assessed relative exposure to Ebola virus disease importation into Europe under six outbreak expansion scenarios reflecting plausible pathways of geographical spread, including cross-border transmission and amplification in highly connected regional capitals. 
Potential spread across the Ugandan border produced no change in either the relative exposure of European countries or their overall importation pressure , compared with the reference scenario of established community transmission in Eastern DRC, with Italy, France, Belgium, and the UK being the most exposed. Expansion across the border to South Sudan produced a first structural increase in importation pressure through the connectivity associated to Juba (5-fold increase for Northern Europe and 6-fold increase for Eastern Europe relative to localized transmission in DRC), while still leaving UK, France, and Italy among the highest-risk countries. Further amplification in highly connected capitals in the region substantially altered importation patterns. Kampala and Kigali amplification increased exposure in Northern Europe, with Kampala producing a &gt;120-fold increase in importation pressure relative to the reference scenario. Kinshasa amplification instead primarily reinforced exposure in Western Europe (~80-fold increase). In each case, the inclusion of the capital became the dominant source of importation pressure, reflecting its strong international connectivity.</v>
      </c>
      <c r="K113" s="5" t="str">
        <f t="shared" si="23"/>
        <v>The study assessed Ebola importation risk to Europe using International Air Transport Association origin–destination passenger flow data from 2024. Researchers modeled six outbreak expansion scenarios, including localized transmission in eastern DRC, cross-border spread to Uganda and South Sudan, and hypothetical amplification in major urban hubs (Kampala, Kigali, Kinshasa). The relative risk of importation for each European country was normalized to the total passenger flow from the source airports to Europe.</v>
      </c>
      <c r="N113" s="2" t="str">
        <f t="shared" si="24"/>
        <v>https://doi.org/10.1093/jtm/taag055</v>
      </c>
      <c r="O113" s="20">
        <v>392</v>
      </c>
      <c r="P113" s="20" t="s">
        <v>860</v>
      </c>
      <c r="Q113" s="20" t="s">
        <v>861</v>
      </c>
      <c r="R113" s="20" t="s">
        <v>862</v>
      </c>
      <c r="S113" s="20" t="s">
        <v>863</v>
      </c>
      <c r="T113" s="20" t="s">
        <v>266</v>
      </c>
      <c r="U113" s="2"/>
      <c r="V113" s="20" t="s">
        <v>267</v>
      </c>
      <c r="W113" s="2"/>
      <c r="X113" s="20" t="s">
        <v>864</v>
      </c>
      <c r="Y113" s="2"/>
      <c r="Z113" s="20" t="s">
        <v>21</v>
      </c>
      <c r="AA113" s="2"/>
      <c r="AB113" s="2"/>
      <c r="AC113" s="2"/>
      <c r="AD113" s="20" t="s">
        <v>352</v>
      </c>
      <c r="AE113" s="2"/>
      <c r="AF113" s="20" t="s">
        <v>270</v>
      </c>
      <c r="AG113" s="2"/>
      <c r="AH113" s="2"/>
      <c r="AI113" s="20" t="s">
        <v>271</v>
      </c>
      <c r="AJ113" s="2"/>
      <c r="AK113" s="20" t="s">
        <v>490</v>
      </c>
      <c r="AL113" s="2"/>
      <c r="AM113" s="2"/>
      <c r="AN113" s="2"/>
      <c r="AO113" s="2"/>
      <c r="AP113" s="20" t="s">
        <v>865</v>
      </c>
      <c r="AQ113" s="2"/>
      <c r="AR113" s="20" t="s">
        <v>37</v>
      </c>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0" t="s">
        <v>83</v>
      </c>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0" t="s">
        <v>73</v>
      </c>
      <c r="DW113" s="2"/>
      <c r="DX113" s="2"/>
      <c r="DY113" s="2"/>
      <c r="DZ113" s="2"/>
      <c r="EA113" s="2"/>
      <c r="EB113" s="2"/>
      <c r="EC113" s="2"/>
      <c r="ED113" s="2"/>
      <c r="EE113" s="2"/>
      <c r="EF113" s="2"/>
      <c r="EG113" s="2"/>
      <c r="EH113" s="2"/>
      <c r="EI113" s="2"/>
      <c r="EJ113" s="2"/>
      <c r="EK113" s="2"/>
      <c r="EL113" s="2"/>
      <c r="EM113" s="2"/>
      <c r="EN113" s="2"/>
      <c r="EO113" s="2"/>
      <c r="EP113" s="20" t="s">
        <v>135</v>
      </c>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0" t="s">
        <v>73</v>
      </c>
      <c r="FS113" s="2"/>
      <c r="FT113" s="2"/>
      <c r="FU113" s="2"/>
      <c r="FV113" s="2"/>
      <c r="FW113" s="2"/>
      <c r="FX113" s="2"/>
      <c r="FY113" s="2"/>
      <c r="FZ113" s="2"/>
      <c r="GA113" s="2"/>
      <c r="GB113" s="2"/>
      <c r="GC113" s="2"/>
      <c r="GD113" s="2"/>
      <c r="GE113" s="2"/>
      <c r="GF113" s="20" t="s">
        <v>73</v>
      </c>
      <c r="GG113" s="2"/>
      <c r="GH113" s="2"/>
      <c r="GI113" s="2"/>
      <c r="GJ113" s="2"/>
      <c r="GK113" s="2"/>
      <c r="GL113" s="2"/>
      <c r="GM113" s="2"/>
      <c r="GN113" s="2"/>
      <c r="GO113" s="2"/>
      <c r="GP113" s="20" t="s">
        <v>73</v>
      </c>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0" t="s">
        <v>73</v>
      </c>
      <c r="HS113" s="2"/>
      <c r="HT113" s="2"/>
      <c r="HU113" s="2"/>
      <c r="HV113" s="2"/>
      <c r="HW113" s="2"/>
      <c r="HX113" s="2"/>
      <c r="HY113" s="2"/>
      <c r="HZ113" s="2"/>
      <c r="IA113" s="2"/>
      <c r="IB113" s="20" t="s">
        <v>73</v>
      </c>
      <c r="IC113" s="2"/>
      <c r="ID113" s="2"/>
      <c r="IE113" s="2"/>
      <c r="IF113" s="2"/>
      <c r="IG113" s="2"/>
      <c r="IH113" s="2"/>
      <c r="II113" s="2"/>
      <c r="IJ113" s="20" t="s">
        <v>73</v>
      </c>
      <c r="IK113" s="2"/>
      <c r="IL113" s="2"/>
      <c r="IM113" s="2"/>
      <c r="IN113" s="2"/>
      <c r="IO113" s="2"/>
      <c r="IP113" s="2"/>
      <c r="IQ113" s="2"/>
      <c r="IR113" s="2"/>
      <c r="IS113" s="2"/>
      <c r="IT113" s="20" t="s">
        <v>73</v>
      </c>
      <c r="IU113" s="2"/>
      <c r="IV113" s="2"/>
      <c r="IW113" s="2"/>
      <c r="IX113" s="20" t="s">
        <v>73</v>
      </c>
      <c r="IY113" s="2"/>
      <c r="IZ113" s="2"/>
      <c r="JA113" s="2"/>
      <c r="JB113" s="20" t="s">
        <v>73</v>
      </c>
      <c r="JC113" s="2"/>
      <c r="JD113" s="2"/>
      <c r="JE113" s="2"/>
      <c r="JF113" s="20" t="s">
        <v>73</v>
      </c>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0" t="s">
        <v>73</v>
      </c>
      <c r="KG113" s="2"/>
      <c r="KH113" s="20" t="s">
        <v>866</v>
      </c>
      <c r="KI113" s="2"/>
      <c r="KJ113" s="20" t="s">
        <v>867</v>
      </c>
      <c r="KK113" s="2"/>
    </row>
    <row r="114" spans="1:297" ht="60" customHeight="1" x14ac:dyDescent="0.25">
      <c r="A114" s="5" t="str">
        <f t="shared" si="13"/>
        <v>Okingo, et al, (2026), Journal of travel medicine</v>
      </c>
      <c r="B114" s="3" t="str">
        <f t="shared" si="14"/>
        <v>Estimating the introduction risk and sustained transmission of the Ebola Bundibugyo outbreak 2026 in the Democratic Republic of Congo</v>
      </c>
      <c r="C114" s="4" t="str">
        <f t="shared" si="15"/>
        <v>Primary - short communication, Modeling, Peer-reviewed publication</v>
      </c>
      <c r="D114" s="4" t="str">
        <f t="shared" si="16"/>
        <v>Bundibugyo</v>
      </c>
      <c r="E114" s="4" t="str">
        <f t="shared" si="17"/>
        <v>Yes</v>
      </c>
      <c r="F114" s="4" t="str">
        <f t="shared" si="18"/>
        <v>The authors estimated introduction risk and sustained transmission potential of the Bundibugyo virus outbreak in the Ituri province, Democratic Republic of the Congo (DRC). They found that introduction risk was highest in the health zones close to the reported  foci, specifically in Ituri, Nord-Kivu, and Haut-Uele. High sustained-transmission potential was distributed across DRC, including Kinshasa, Kasaï-Oriental, Kongo-Central, Tshopo, Nord-Kivu, Haut-Katanga, Sud-Kivu, Kasaï, and Kasaï-Central, suggesting preparedness in health zones with high sustained-transmission potential but lower introduction risk.</v>
      </c>
      <c r="G114" s="4" t="str">
        <f t="shared" si="19"/>
        <v>Size or Duration estimate</v>
      </c>
      <c r="H114" s="4" t="str">
        <f t="shared" si="20"/>
        <v>Human - General population</v>
      </c>
      <c r="I114" s="4" t="str">
        <f t="shared" si="21"/>
        <v/>
      </c>
      <c r="J114" s="5" t="str">
        <f t="shared" si="22"/>
        <v>Epidemiological Parameter - Estimates of outbreak size or duration: 
The authors estimated the potential for an introduced case to generate sustained transmission in the DRC and found that introduction risk was highest in health zones (HZs) close to the reported foci and high sustained-transmission potential was distributed across DRC,  including Kinshasa, KasaïOriental, Kongo-Central, Tshopo, Nord-Kivu, Haut-Katanga, Sud-Kivu, Kasaï, and Kasaï-Central.  Crossing the two rankings identified eight HZs that combined high introduction risk and high sustained-transmission potential: Binza Ozone and Binza Meteo in Kinshasa; Karisimbi in Nord-Kivu; Kadutu and Ibanda in Sud-Kivu; and Makiso-Kisangani, Kabondo, and Mangobo in Tshopo.</v>
      </c>
      <c r="K114" s="5" t="str">
        <f t="shared" si="23"/>
        <v>The authors used multitype branching processes to estimate  for each DRC health zone (HZ), the potential for an introduced case to generate sustained transmission. They used  available population and mobility data to parameterize spatial transmission, testing a broad range of assumptions on disease transmissibility and on how local and between-community contact patterns can be inferred from these data. They then ranked HZs by sustained-transmission potential and compared them with introduction-risk ranks estimated from mobility data.</v>
      </c>
      <c r="N114" s="2" t="str">
        <f t="shared" si="24"/>
        <v>https://doi.org/10.1093/jtm/taag057</v>
      </c>
      <c r="O114" s="20">
        <v>393</v>
      </c>
      <c r="P114" s="20" t="s">
        <v>868</v>
      </c>
      <c r="Q114" s="20" t="s">
        <v>869</v>
      </c>
      <c r="R114" s="20" t="s">
        <v>870</v>
      </c>
      <c r="S114" s="20" t="s">
        <v>871</v>
      </c>
      <c r="T114" s="20" t="s">
        <v>266</v>
      </c>
      <c r="U114" s="2"/>
      <c r="V114" s="20" t="s">
        <v>267</v>
      </c>
      <c r="W114" s="2"/>
      <c r="X114" s="20" t="s">
        <v>872</v>
      </c>
      <c r="Y114" s="2"/>
      <c r="Z114" s="20" t="s">
        <v>21</v>
      </c>
      <c r="AA114" s="2"/>
      <c r="AB114" s="2"/>
      <c r="AC114" s="2"/>
      <c r="AD114" s="20" t="s">
        <v>352</v>
      </c>
      <c r="AE114" s="2"/>
      <c r="AF114" s="20" t="s">
        <v>270</v>
      </c>
      <c r="AG114" s="2"/>
      <c r="AH114" s="2"/>
      <c r="AI114" s="20" t="s">
        <v>271</v>
      </c>
      <c r="AJ114" s="2"/>
      <c r="AK114" s="20" t="s">
        <v>490</v>
      </c>
      <c r="AL114" s="2"/>
      <c r="AM114" s="2"/>
      <c r="AN114" s="2"/>
      <c r="AO114" s="2"/>
      <c r="AP114" s="20" t="s">
        <v>873</v>
      </c>
      <c r="AQ114" s="2"/>
      <c r="AR114" s="20" t="s">
        <v>37</v>
      </c>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0" t="s">
        <v>83</v>
      </c>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0" t="s">
        <v>73</v>
      </c>
      <c r="DW114" s="2"/>
      <c r="DX114" s="2"/>
      <c r="DY114" s="2"/>
      <c r="DZ114" s="2"/>
      <c r="EA114" s="2"/>
      <c r="EB114" s="2"/>
      <c r="EC114" s="2"/>
      <c r="ED114" s="2"/>
      <c r="EE114" s="2"/>
      <c r="EF114" s="2"/>
      <c r="EG114" s="2"/>
      <c r="EH114" s="2"/>
      <c r="EI114" s="2"/>
      <c r="EJ114" s="2"/>
      <c r="EK114" s="2"/>
      <c r="EL114" s="2"/>
      <c r="EM114" s="2"/>
      <c r="EN114" s="2"/>
      <c r="EO114" s="2"/>
      <c r="EP114" s="20" t="s">
        <v>135</v>
      </c>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0" t="s">
        <v>73</v>
      </c>
      <c r="FS114" s="2"/>
      <c r="FT114" s="2"/>
      <c r="FU114" s="2"/>
      <c r="FV114" s="2"/>
      <c r="FW114" s="2"/>
      <c r="FX114" s="2"/>
      <c r="FY114" s="2"/>
      <c r="FZ114" s="2"/>
      <c r="GA114" s="2"/>
      <c r="GB114" s="2"/>
      <c r="GC114" s="2"/>
      <c r="GD114" s="2"/>
      <c r="GE114" s="2"/>
      <c r="GF114" s="20" t="s">
        <v>73</v>
      </c>
      <c r="GG114" s="2"/>
      <c r="GH114" s="2"/>
      <c r="GI114" s="2"/>
      <c r="GJ114" s="2"/>
      <c r="GK114" s="2"/>
      <c r="GL114" s="2"/>
      <c r="GM114" s="2"/>
      <c r="GN114" s="2"/>
      <c r="GO114" s="2"/>
      <c r="GP114" s="20" t="s">
        <v>73</v>
      </c>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0" t="s">
        <v>73</v>
      </c>
      <c r="HS114" s="2"/>
      <c r="HT114" s="2"/>
      <c r="HU114" s="2"/>
      <c r="HV114" s="2"/>
      <c r="HW114" s="2"/>
      <c r="HX114" s="2"/>
      <c r="HY114" s="2"/>
      <c r="HZ114" s="2"/>
      <c r="IA114" s="2"/>
      <c r="IB114" s="20" t="s">
        <v>73</v>
      </c>
      <c r="IC114" s="2"/>
      <c r="ID114" s="2"/>
      <c r="IE114" s="2"/>
      <c r="IF114" s="2"/>
      <c r="IG114" s="2"/>
      <c r="IH114" s="2"/>
      <c r="II114" s="2"/>
      <c r="IJ114" s="20" t="s">
        <v>73</v>
      </c>
      <c r="IK114" s="2"/>
      <c r="IL114" s="2"/>
      <c r="IM114" s="2"/>
      <c r="IN114" s="2"/>
      <c r="IO114" s="2"/>
      <c r="IP114" s="2"/>
      <c r="IQ114" s="2"/>
      <c r="IR114" s="2"/>
      <c r="IS114" s="2"/>
      <c r="IT114" s="20" t="s">
        <v>73</v>
      </c>
      <c r="IU114" s="2"/>
      <c r="IV114" s="2"/>
      <c r="IW114" s="2"/>
      <c r="IX114" s="20" t="s">
        <v>73</v>
      </c>
      <c r="IY114" s="2"/>
      <c r="IZ114" s="2"/>
      <c r="JA114" s="2"/>
      <c r="JB114" s="20" t="s">
        <v>73</v>
      </c>
      <c r="JC114" s="2"/>
      <c r="JD114" s="2"/>
      <c r="JE114" s="2"/>
      <c r="JF114" s="20" t="s">
        <v>73</v>
      </c>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0" t="s">
        <v>73</v>
      </c>
      <c r="KG114" s="2"/>
      <c r="KH114" s="20" t="s">
        <v>874</v>
      </c>
      <c r="KI114" s="2"/>
      <c r="KJ114" s="20" t="s">
        <v>875</v>
      </c>
      <c r="KK114" s="2"/>
    </row>
    <row r="115" spans="1:297" ht="60" customHeight="1" x14ac:dyDescent="0.25">
      <c r="A115" s="5" t="str">
        <f t="shared" si="13"/>
        <v>Bepouka, et al, (2026), Antimicrobial resistance and infection control</v>
      </c>
      <c r="B115" s="3" t="str">
        <f t="shared" si="14"/>
        <v>Healthcare-associated transmission and early IPC system vulnerabilities during the 2026 Bundibugyo Ebola outbreak in eastern Democratic Republic of the Congo</v>
      </c>
      <c r="C115" s="4" t="str">
        <f t="shared" si="15"/>
        <v>Commentary, Peer-reviewed publication</v>
      </c>
      <c r="D115" s="4" t="str">
        <f t="shared" si="16"/>
        <v>Bundibugyo</v>
      </c>
      <c r="E115" s="4" t="str">
        <f t="shared" si="17"/>
        <v>Yes</v>
      </c>
      <c r="F115" s="4" t="str">
        <f t="shared" si="18"/>
        <v/>
      </c>
      <c r="G115" s="4" t="str">
        <f t="shared" si="19"/>
        <v/>
      </c>
      <c r="H115" s="4" t="str">
        <f t="shared" si="20"/>
        <v/>
      </c>
      <c r="I115" s="4" t="str">
        <f t="shared" si="21"/>
        <v/>
      </c>
      <c r="J115" s="5" t="str">
        <f t="shared" si="22"/>
        <v/>
      </c>
      <c r="K115" s="5" t="str">
        <f t="shared" si="23"/>
        <v/>
      </c>
      <c r="N115" s="2" t="str">
        <f t="shared" si="24"/>
        <v>https://doi.org/10.1186/s13756-026-01779-8</v>
      </c>
      <c r="O115" s="20">
        <v>403</v>
      </c>
      <c r="P115" s="20" t="s">
        <v>876</v>
      </c>
      <c r="Q115" s="20" t="s">
        <v>877</v>
      </c>
      <c r="R115" s="20" t="s">
        <v>878</v>
      </c>
      <c r="S115" s="20" t="s">
        <v>879</v>
      </c>
      <c r="T115" s="20" t="s">
        <v>266</v>
      </c>
      <c r="U115" s="2"/>
      <c r="V115" s="20">
        <v>2</v>
      </c>
      <c r="W115" s="2"/>
      <c r="X115" s="20" t="s">
        <v>880</v>
      </c>
      <c r="Y115" s="2"/>
      <c r="Z115" s="20" t="s">
        <v>21</v>
      </c>
      <c r="AA115" s="2"/>
      <c r="AB115" s="2"/>
      <c r="AC115" s="2"/>
      <c r="AD115" s="20" t="s">
        <v>352</v>
      </c>
      <c r="AE115" s="2"/>
      <c r="AF115" s="20" t="s">
        <v>270</v>
      </c>
      <c r="AG115" s="2"/>
      <c r="AH115" s="2"/>
      <c r="AI115" s="20" t="s">
        <v>271</v>
      </c>
      <c r="AJ115" s="2"/>
      <c r="AK115" s="20" t="s">
        <v>425</v>
      </c>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row>
    <row r="116" spans="1:297" ht="60" customHeight="1" x14ac:dyDescent="0.25">
      <c r="A116" s="5" t="str">
        <f t="shared" si="13"/>
        <v xml:space="preserve">Mbala-Kingebeni, et al, (2026) </v>
      </c>
      <c r="B116" s="3" t="str">
        <f t="shared" si="14"/>
        <v>Bundibugyo Ebola in DR Congo and Uganda: community-centred response must be operational, not rhetorical</v>
      </c>
      <c r="C116" s="4" t="str">
        <f t="shared" si="15"/>
        <v>Commentary, Peer-reviewed publication</v>
      </c>
      <c r="D116" s="4" t="str">
        <f t="shared" si="16"/>
        <v>Bundibugyo</v>
      </c>
      <c r="E116" s="4" t="str">
        <f t="shared" si="17"/>
        <v>Yes</v>
      </c>
      <c r="F116" s="4" t="str">
        <f t="shared" si="18"/>
        <v/>
      </c>
      <c r="G116" s="4" t="str">
        <f t="shared" si="19"/>
        <v/>
      </c>
      <c r="H116" s="4" t="str">
        <f t="shared" si="20"/>
        <v/>
      </c>
      <c r="I116" s="4" t="str">
        <f t="shared" si="21"/>
        <v/>
      </c>
      <c r="J116" s="5" t="str">
        <f t="shared" si="22"/>
        <v/>
      </c>
      <c r="K116" s="5" t="str">
        <f t="shared" si="23"/>
        <v/>
      </c>
      <c r="N116" s="2" t="str">
        <f t="shared" si="24"/>
        <v>https://doi.org/10.1016/s1473-3099(26)00322-1</v>
      </c>
      <c r="O116" s="20">
        <v>404</v>
      </c>
      <c r="P116" s="20" t="s">
        <v>1383</v>
      </c>
      <c r="Q116" s="20" t="s">
        <v>881</v>
      </c>
      <c r="R116" s="20" t="s">
        <v>882</v>
      </c>
      <c r="S116" s="20" t="s">
        <v>883</v>
      </c>
      <c r="T116" s="20" t="s">
        <v>266</v>
      </c>
      <c r="U116" s="2"/>
      <c r="V116" s="20">
        <v>2</v>
      </c>
      <c r="W116" s="2"/>
      <c r="X116" s="20" t="s">
        <v>884</v>
      </c>
      <c r="Y116" s="2"/>
      <c r="Z116" s="20" t="s">
        <v>21</v>
      </c>
      <c r="AA116" s="2"/>
      <c r="AB116" s="2"/>
      <c r="AC116" s="2"/>
      <c r="AD116" s="20" t="s">
        <v>352</v>
      </c>
      <c r="AE116" s="2"/>
      <c r="AF116" s="20" t="s">
        <v>270</v>
      </c>
      <c r="AG116" s="2"/>
      <c r="AH116" s="2"/>
      <c r="AI116" s="20" t="s">
        <v>271</v>
      </c>
      <c r="AJ116" s="2"/>
      <c r="AK116" s="20" t="s">
        <v>425</v>
      </c>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row>
    <row r="117" spans="1:297" ht="60" customHeight="1" x14ac:dyDescent="0.25">
      <c r="A117" s="5" t="str">
        <f t="shared" si="13"/>
        <v>Banadyga, et al, (), npj Viruses</v>
      </c>
      <c r="B117" s="3" t="str">
        <f t="shared" si="14"/>
        <v>Development of an immunochromatographic lateral flow assay for the rapid detection of all known orthoebolavirus glycoproteins</v>
      </c>
      <c r="C117" s="4" t="str">
        <f t="shared" si="15"/>
        <v>Primary - article, Experimental, Peer-reviewed publication</v>
      </c>
      <c r="D117" s="4" t="str">
        <f t="shared" si="16"/>
        <v>Bundibugyo</v>
      </c>
      <c r="E117" s="4" t="str">
        <f t="shared" si="17"/>
        <v>Yes</v>
      </c>
      <c r="F117" s="4" t="str">
        <f t="shared" si="18"/>
        <v>This study developed a prototype immunochromatographic lateral flow rapid diagnostic test (ILF -RDT ) that detects the glycoproteins (GPs) from all known orthoebolaviruses, including Bundibugyo virus (BDBV). The ILF-RDT detects both recombinant GP and authentic virus in samples spiked with human blood and experimentally infected animals and non-human primate samples at 7 days post-infection for BDBV, before animals exhibited severe disease. The ILF -RDT detects Ebola virus (EBOV), Sudan virus (SUDV), and BDBV GPs, both EBOV and BDBV GP produced positive results down to 31.2 ng, while SUDV GP was more difficult to interpret, with positive results at 500 and 250 ng but equivocal results at lower amounts of recombinant protein . The ILF -RDT was unable to detect GP from the more distantly related filovirus, Marburg virus, indicating that the test is specific for orthoebolaviruses but does not replace more sensitive diagnostic tests such as RT-qPCR.</v>
      </c>
      <c r="G117" s="4" t="str">
        <f t="shared" si="19"/>
        <v>DTA</v>
      </c>
      <c r="H117" s="4" t="str">
        <f t="shared" si="20"/>
        <v>Human - General population, Animal - model of disease</v>
      </c>
      <c r="I117" s="4" t="str">
        <f t="shared" si="21"/>
        <v/>
      </c>
      <c r="J117" s="5" t="str">
        <f t="shared" si="22"/>
        <v>Diagnostic test accuracy: 
Both EBOV and SUDV (secreted glycoprotein) sGP were detected in this assay, with SUDV sGP producing particularly robust positive results at every dilution tested. After evaluating the performance of the prototype ILF -RDT in the presence of human plasma or whole blood, the RDT detected EBOV GP, EBOV sGP, SUDV sGP, and BDBV GP at amounts as low as 62.5 or 31.2 ng. SUDV GP was clearly detected down to 250 ng, with equivocal results at lower amounts. To determine whether the test could detect authentic virus, SUDV and BDBV all produced clear positive results. The authors also evaluated the assay using whole blood samples obtained from experimentally infected ferrets and macaques and the EBOV-infected ferrets showed clear positive results at 5 days post -infection (DPI), corresponding to a Ct value of ~9, when the animals were severely ill while BDBV-infected ferrets were positive when they tested at 7 days post-infection DPI with CT values around 8 for BDBV. In macaques, 8 of 10 animals, remained positive for EBOV at 7 DPI (with Ct values ~19 -22), with two other animals (#3 and #7) showing very faint bands at the test line. 
While EBOV variants Makona -C07, Kikwit, and Mayinga all produced positive results, Makona -C05 did not. GP sequence analysis revealed only a single amino acid difference between Makona -C07 and Makona -C05, namely a tryptophan to arginine mutation at position 291 (W291R) (Fig. S4B). Importantly, this mutation is rare: analysis of all 2,985 available orthoebolavirus GP sequences in GenBank revealed that only 14 possessed the W291R substitution, with all 14 belonging exclusively to sequences of EBOV variant Makona -C05. A subsequent ELISA demonstrated that monoclonal antibodies (mAb) 5A3, unlike 6H8, did not bind to the GP from Makona -C05, suggesting that the W291R point mutation specifically obstructs binding to the assay ’s capture mAb.</v>
      </c>
      <c r="K117" s="5" t="str">
        <f t="shared" si="23"/>
        <v>The researchers developed an immunochromatographic lateral flow assay (ILF-RDT) by generating orthoebolavirus-specific monoclonal antibodies, conjugating detection antibodies to gold nanoparticles, and spraying capture antibodies onto nitrocellulose membranes. Test strips were assembled with laminated pads, and samples (recombinant proteins, authentic viruses, and infected animal blood) were tested using a specialized running buffer. The assay was validated for specificity and sensitivity, with results confirmed via RT-qPCR and protein sequence analysis.</v>
      </c>
      <c r="N117" s="2" t="str">
        <f t="shared" si="24"/>
        <v>https://doi.org/https://doi.org/10.1038/s44298-026-00209-1</v>
      </c>
      <c r="O117" s="20">
        <v>411</v>
      </c>
      <c r="P117" s="20" t="s">
        <v>885</v>
      </c>
      <c r="Q117" s="20" t="s">
        <v>886</v>
      </c>
      <c r="R117" s="20" t="s">
        <v>887</v>
      </c>
      <c r="S117" s="20" t="s">
        <v>888</v>
      </c>
      <c r="T117" s="20" t="s">
        <v>266</v>
      </c>
      <c r="U117" s="2"/>
      <c r="V117" s="20" t="s">
        <v>267</v>
      </c>
      <c r="W117" s="2"/>
      <c r="X117" s="20" t="s">
        <v>889</v>
      </c>
      <c r="Y117" s="2"/>
      <c r="Z117" s="20" t="s">
        <v>21</v>
      </c>
      <c r="AA117" s="2"/>
      <c r="AB117" s="2"/>
      <c r="AC117" s="2"/>
      <c r="AD117" s="20" t="s">
        <v>352</v>
      </c>
      <c r="AE117" s="2"/>
      <c r="AF117" s="20" t="s">
        <v>270</v>
      </c>
      <c r="AG117" s="2"/>
      <c r="AH117" s="2"/>
      <c r="AI117" s="20" t="s">
        <v>271</v>
      </c>
      <c r="AJ117" s="2"/>
      <c r="AK117" s="20" t="s">
        <v>272</v>
      </c>
      <c r="AL117" s="2"/>
      <c r="AM117" s="2"/>
      <c r="AN117" s="2"/>
      <c r="AO117" s="2"/>
      <c r="AP117" s="20" t="s">
        <v>890</v>
      </c>
      <c r="AQ117" s="2"/>
      <c r="AR117" s="20" t="s">
        <v>37</v>
      </c>
      <c r="AS117" s="2"/>
      <c r="AT117" s="2"/>
      <c r="AU117" s="2"/>
      <c r="AV117" s="2"/>
      <c r="AW117" s="2"/>
      <c r="AX117" s="2"/>
      <c r="AY117" s="2"/>
      <c r="AZ117" s="2"/>
      <c r="BA117" s="2"/>
      <c r="BB117" s="2"/>
      <c r="BC117" s="2"/>
      <c r="BD117" s="2"/>
      <c r="BE117" s="2"/>
      <c r="BF117" s="2"/>
      <c r="BG117" s="2"/>
      <c r="BH117" s="2"/>
      <c r="BI117" s="2"/>
      <c r="BJ117" s="2"/>
      <c r="BK117" s="2"/>
      <c r="BL117" s="2"/>
      <c r="BM117" s="2"/>
      <c r="BN117" s="20" t="s">
        <v>59</v>
      </c>
      <c r="BO117" s="2"/>
      <c r="BP117" s="2"/>
      <c r="BQ117" s="2"/>
      <c r="BR117" s="2"/>
      <c r="BS117" s="2"/>
      <c r="BT117" s="2"/>
      <c r="BU117" s="2"/>
      <c r="BV117" s="2"/>
      <c r="BW117" s="2"/>
      <c r="BX117" s="2"/>
      <c r="BY117" s="2"/>
      <c r="BZ117" s="2"/>
      <c r="CA117" s="2"/>
      <c r="CB117" s="2"/>
      <c r="CC117" s="2"/>
      <c r="CD117" s="2"/>
      <c r="CE117" s="2"/>
      <c r="CF117" s="2"/>
      <c r="CG117" s="2"/>
      <c r="CH117" s="20" t="s">
        <v>79</v>
      </c>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0" t="s">
        <v>73</v>
      </c>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0" t="s">
        <v>73</v>
      </c>
      <c r="EW117" s="2"/>
      <c r="EX117" s="2"/>
      <c r="EY117" s="2"/>
      <c r="EZ117" s="2"/>
      <c r="FA117" s="2"/>
      <c r="FB117" s="2"/>
      <c r="FC117" s="2"/>
      <c r="FD117" s="2"/>
      <c r="FE117" s="2"/>
      <c r="FF117" s="2"/>
      <c r="FG117" s="2"/>
      <c r="FH117" s="2"/>
      <c r="FI117" s="2"/>
      <c r="FJ117" s="2"/>
      <c r="FK117" s="2"/>
      <c r="FL117" s="2"/>
      <c r="FM117" s="2"/>
      <c r="FN117" s="2"/>
      <c r="FO117" s="2"/>
      <c r="FP117" s="2"/>
      <c r="FQ117" s="2"/>
      <c r="FR117" s="20" t="s">
        <v>73</v>
      </c>
      <c r="FS117" s="2"/>
      <c r="FT117" s="2"/>
      <c r="FU117" s="2"/>
      <c r="FV117" s="2"/>
      <c r="FW117" s="2"/>
      <c r="FX117" s="2"/>
      <c r="FY117" s="2"/>
      <c r="FZ117" s="2"/>
      <c r="GA117" s="2"/>
      <c r="GB117" s="2"/>
      <c r="GC117" s="2"/>
      <c r="GD117" s="2"/>
      <c r="GE117" s="2"/>
      <c r="GF117" s="20" t="s">
        <v>73</v>
      </c>
      <c r="GG117" s="2"/>
      <c r="GH117" s="2"/>
      <c r="GI117" s="2"/>
      <c r="GJ117" s="2"/>
      <c r="GK117" s="2"/>
      <c r="GL117" s="2"/>
      <c r="GM117" s="2"/>
      <c r="GN117" s="2"/>
      <c r="GO117" s="2"/>
      <c r="GP117" s="20" t="s">
        <v>73</v>
      </c>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0" t="s">
        <v>73</v>
      </c>
      <c r="HS117" s="2"/>
      <c r="HT117" s="2"/>
      <c r="HU117" s="2"/>
      <c r="HV117" s="2"/>
      <c r="HW117" s="2"/>
      <c r="HX117" s="2"/>
      <c r="HY117" s="2"/>
      <c r="HZ117" s="2"/>
      <c r="IA117" s="2"/>
      <c r="IB117" s="20" t="s">
        <v>73</v>
      </c>
      <c r="IC117" s="2"/>
      <c r="ID117" s="20" t="s">
        <v>215</v>
      </c>
      <c r="IE117" s="2"/>
      <c r="IF117" s="2"/>
      <c r="IG117" s="2"/>
      <c r="IH117" s="2"/>
      <c r="II117" s="2"/>
      <c r="IJ117" s="2"/>
      <c r="IK117" s="2"/>
      <c r="IL117" s="2"/>
      <c r="IM117" s="2"/>
      <c r="IN117" s="2"/>
      <c r="IO117" s="2"/>
      <c r="IP117" s="2"/>
      <c r="IQ117" s="2"/>
      <c r="IR117" s="2"/>
      <c r="IS117" s="2"/>
      <c r="IT117" s="20" t="s">
        <v>73</v>
      </c>
      <c r="IU117" s="2"/>
      <c r="IV117" s="2"/>
      <c r="IW117" s="2"/>
      <c r="IX117" s="20" t="s">
        <v>73</v>
      </c>
      <c r="IY117" s="2"/>
      <c r="IZ117" s="2"/>
      <c r="JA117" s="2"/>
      <c r="JB117" s="20" t="s">
        <v>73</v>
      </c>
      <c r="JC117" s="2"/>
      <c r="JD117" s="2"/>
      <c r="JE117" s="2"/>
      <c r="JF117" s="20" t="s">
        <v>73</v>
      </c>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0" t="s">
        <v>73</v>
      </c>
      <c r="KG117" s="2"/>
      <c r="KH117" s="20" t="s">
        <v>891</v>
      </c>
      <c r="KI117" s="2"/>
      <c r="KJ117" s="20" t="s">
        <v>892</v>
      </c>
      <c r="KK117" s="2"/>
    </row>
    <row r="118" spans="1:297" ht="60" customHeight="1" x14ac:dyDescent="0.25">
      <c r="A118" s="5" t="str">
        <f t="shared" si="13"/>
        <v>NzanzuTJ, et al, (2026), Student's Journal of Health Research Africa</v>
      </c>
      <c r="B118" s="3" t="str">
        <f t="shared" si="14"/>
        <v>Understanding the epidemiology of Ebola Bundibugyo virus (EBV) in selected populations: a cross-sectional study in Buhendera and Bwamba counties, Bundibugyo district</v>
      </c>
      <c r="C118" s="4" t="str">
        <f t="shared" si="15"/>
        <v>Primary - article, Observational, Peer-reviewed publication</v>
      </c>
      <c r="D118" s="4" t="str">
        <f t="shared" si="16"/>
        <v>Bundibugyo</v>
      </c>
      <c r="E118" s="4" t="str">
        <f t="shared" si="17"/>
        <v>No</v>
      </c>
      <c r="F118" s="4" t="str">
        <f t="shared" si="18"/>
        <v>In a cross-sectional study carried out in 6 sites, risk factors, distribution, endemicity and mode of action and transmission of the Ebola-Bundibugyo (EBV) strain after the 2007 outbreak were examined. This study found that EBV was influenced by gender roles (males more exposed through hunting/gathering), limited healthcare access, religious affiliation (Catholics most affected), occupation (farmers near reservoirs at higher risk), low income (increased hunting/gathering), larger family size, cultural practices (sleeping near/washing the dead), climatic conditions (harvest season increasing human-animal contact), and human movement patterns (with Bundibugyo as a central hub).</v>
      </c>
      <c r="G118" s="4" t="str">
        <f t="shared" si="19"/>
        <v>Infection risk factors; Mortality; pathogen structural characterization</v>
      </c>
      <c r="H118" s="4" t="str">
        <f t="shared" si="20"/>
        <v>Human - General population</v>
      </c>
      <c r="I118" s="4" t="str">
        <f t="shared" si="21"/>
        <v>Direct contact</v>
      </c>
      <c r="J118" s="5" t="str">
        <f t="shared" si="22"/>
        <v>Epidemiological Parameter - RISK FACTORS FOR INFECTION:
Gender: Males were at higher risk due to activities like hunting and gathering wild fruits (58.6% vs. 41.4% females; p &lt; 0.05).
Healthcare Access: Limited access was significant, with 72.2% reporting relatives lacking medical care (p &lt; 0.001).
Religion: Catholics experienced the highest cases (24.5%), followed by SDA (12.9%) and Muslims (17.7%; p &lt; 0.05).
Occupation: Farming near animal reservoirs was critical, as the first outbreak occurred in a maize farmer (p &lt; 0.01).
Income: Low income increased reliance on high-risk activities (p &lt; 0.05).
Family Size: Larger family size showed a significant linear relationship with EBV occurrence (p &lt; 0.001).
Tribe: Tribal differences had no significant impact (p &gt; 0.05).
Climate: Bimodal rainfall and harvesting seasons heightened human-animal interaction (p &lt; 0.05).
Structural characterization: EBV under an electron microscope is an anatomically  helical,  single-stranded,  unsegmented  RNA negative sense virus. Envelope glycoprotein is initially produced as a precursor known as pre-GP, cleaved by furin into two subunits, GP1 and GP2, which remain associated through a disulfide linkage between Cys53 of GP1 and Cys609 of GP2.</v>
      </c>
      <c r="K118" s="5" t="str">
        <f t="shared" si="23"/>
        <v>This cross-section observational study in Bundibugyo District, Western Uganda, investigated Ebola Bundibugyo virus (EBV) using interviews with farmers, climatic assessments, and data from hospital and district health records. Snowball sampling identified households affected by EBV, while questionnaires and interview guides collected data on cultural risk factors (e.g., sleeping near/washing the dead, burial rituals). EBV’s mode of action, structure, and biochemistry were analyzed using IgG ELISA on preserved samples at UVRI and CDC literature reviews.</v>
      </c>
      <c r="N118" s="2" t="str">
        <f t="shared" si="24"/>
        <v>https://doi.org/10.51168/sjhrafrica.v7i2.2342</v>
      </c>
      <c r="O118" s="20">
        <v>414</v>
      </c>
      <c r="P118" s="20" t="s">
        <v>893</v>
      </c>
      <c r="Q118" s="20" t="s">
        <v>894</v>
      </c>
      <c r="R118" s="20" t="s">
        <v>895</v>
      </c>
      <c r="S118" s="20" t="s">
        <v>896</v>
      </c>
      <c r="T118" s="20" t="s">
        <v>266</v>
      </c>
      <c r="U118" s="2"/>
      <c r="V118" s="20" t="s">
        <v>267</v>
      </c>
      <c r="W118" s="2"/>
      <c r="X118" s="20" t="s">
        <v>897</v>
      </c>
      <c r="Y118" s="2"/>
      <c r="Z118" s="20" t="s">
        <v>21</v>
      </c>
      <c r="AA118" s="2"/>
      <c r="AB118" s="2"/>
      <c r="AC118" s="2"/>
      <c r="AD118" s="20" t="s">
        <v>269</v>
      </c>
      <c r="AE118" s="2"/>
      <c r="AF118" s="20" t="s">
        <v>270</v>
      </c>
      <c r="AG118" s="2"/>
      <c r="AH118" s="2"/>
      <c r="AI118" s="20" t="s">
        <v>271</v>
      </c>
      <c r="AJ118" s="2"/>
      <c r="AK118" s="20" t="s">
        <v>272</v>
      </c>
      <c r="AL118" s="2"/>
      <c r="AM118" s="2"/>
      <c r="AN118" s="2"/>
      <c r="AO118" s="2"/>
      <c r="AP118" s="20" t="s">
        <v>898</v>
      </c>
      <c r="AQ118" s="2"/>
      <c r="AR118" s="20" t="s">
        <v>37</v>
      </c>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0" t="s">
        <v>75</v>
      </c>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0" t="s">
        <v>103</v>
      </c>
      <c r="DI118" s="2"/>
      <c r="DJ118" s="2"/>
      <c r="DK118" s="2"/>
      <c r="DL118" s="2"/>
      <c r="DM118" s="2"/>
      <c r="DN118" s="2"/>
      <c r="DO118" s="2"/>
      <c r="DP118" s="2"/>
      <c r="DQ118" s="2"/>
      <c r="DR118" s="2"/>
      <c r="DS118" s="2"/>
      <c r="DT118" s="2"/>
      <c r="DU118" s="2"/>
      <c r="DV118" s="2"/>
      <c r="DW118" s="2"/>
      <c r="DX118" s="2"/>
      <c r="DY118" s="2"/>
      <c r="DZ118" s="2"/>
      <c r="EA118" s="2"/>
      <c r="EB118" s="20" t="s">
        <v>121</v>
      </c>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0" t="s">
        <v>149</v>
      </c>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0" t="s">
        <v>73</v>
      </c>
      <c r="GG118" s="2"/>
      <c r="GH118" s="2"/>
      <c r="GI118" s="2"/>
      <c r="GJ118" s="2"/>
      <c r="GK118" s="2"/>
      <c r="GL118" s="2"/>
      <c r="GM118" s="2"/>
      <c r="GN118" s="2"/>
      <c r="GO118" s="2"/>
      <c r="GP118" s="20" t="s">
        <v>73</v>
      </c>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0" t="s">
        <v>73</v>
      </c>
      <c r="HS118" s="2"/>
      <c r="HT118" s="2"/>
      <c r="HU118" s="2"/>
      <c r="HV118" s="2"/>
      <c r="HW118" s="2"/>
      <c r="HX118" s="2"/>
      <c r="HY118" s="2"/>
      <c r="HZ118" s="2"/>
      <c r="IA118" s="2"/>
      <c r="IB118" s="20" t="s">
        <v>73</v>
      </c>
      <c r="IC118" s="2"/>
      <c r="ID118" s="2"/>
      <c r="IE118" s="2"/>
      <c r="IF118" s="2"/>
      <c r="IG118" s="2"/>
      <c r="IH118" s="2"/>
      <c r="II118" s="2"/>
      <c r="IJ118" s="20" t="s">
        <v>73</v>
      </c>
      <c r="IK118" s="2"/>
      <c r="IL118" s="2"/>
      <c r="IM118" s="2"/>
      <c r="IN118" s="20" t="s">
        <v>223</v>
      </c>
      <c r="IO118" s="2"/>
      <c r="IP118" s="2"/>
      <c r="IQ118" s="2"/>
      <c r="IR118" s="2"/>
      <c r="IS118" s="2"/>
      <c r="IT118" s="2"/>
      <c r="IU118" s="2"/>
      <c r="IV118" s="2"/>
      <c r="IW118" s="2"/>
      <c r="IX118" s="20" t="s">
        <v>73</v>
      </c>
      <c r="IY118" s="2"/>
      <c r="IZ118" s="2"/>
      <c r="JA118" s="2"/>
      <c r="JB118" s="20" t="s">
        <v>73</v>
      </c>
      <c r="JC118" s="2"/>
      <c r="JD118" s="2"/>
      <c r="JE118" s="2"/>
      <c r="JF118" s="20" t="s">
        <v>73</v>
      </c>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0" t="s">
        <v>73</v>
      </c>
      <c r="KG118" s="2"/>
      <c r="KH118" s="20" t="s">
        <v>899</v>
      </c>
      <c r="KI118" s="2"/>
      <c r="KJ118" s="20" t="s">
        <v>900</v>
      </c>
      <c r="KK118" s="2"/>
    </row>
    <row r="119" spans="1:297" ht="60" customHeight="1" x14ac:dyDescent="0.25">
      <c r="A119" s="5" t="str">
        <f t="shared" si="13"/>
        <v>Wight, et al, (2026), Emerging infectious diseases</v>
      </c>
      <c r="B119" s="3" t="str">
        <f t="shared" si="14"/>
        <v>Antibodies Cross-Reactive with Bundibugyo Virus in Ferrets Vaccinated with Ebola Virus Vaccine</v>
      </c>
      <c r="C119" s="4" t="str">
        <f t="shared" si="15"/>
        <v>Primary - short communication, Experimental, Peer-reviewed publication</v>
      </c>
      <c r="D119" s="4" t="str">
        <f t="shared" si="16"/>
        <v>Bundibugyo</v>
      </c>
      <c r="E119" s="4" t="str">
        <f t="shared" si="17"/>
        <v>Yes</v>
      </c>
      <c r="F119" s="4" t="str">
        <f t="shared" si="18"/>
        <v>To establish whether cross-reactive immune responses against  Bundibugyo virus (BDBV) can be elicited by heterologous recombinant vesicular stomatitis virus (rVSV)–based vaccine, the authors sought to evaluate the levels of BDBV-specific IgG in the context of a ferret model. They found that the rVSV-EBOV vaccine elicits a moderate cross-reactive immune response against BDBV, while rVSV-SUDV does not,  suggesting rVSV-EBOV could potentially offer some protection against BDBV, though further research is needed to confirm.</v>
      </c>
      <c r="G119" s="4" t="str">
        <f t="shared" si="19"/>
        <v>Vaccine immunity measures (Ab, titre, cytokines)</v>
      </c>
      <c r="H119" s="4" t="str">
        <f t="shared" si="20"/>
        <v>Animal - model of disease</v>
      </c>
      <c r="I119" s="4" t="str">
        <f t="shared" si="21"/>
        <v/>
      </c>
      <c r="J119" s="5" t="str">
        <f t="shared" si="22"/>
        <v>Vaccine immunity - Measures of protective immunity (antibodies/titres/cytokines): 
Authors collected serum samples from ferrets 27 days after vaccination with rVSV-EBOV or rVSV-SUDV and quantified EBOV, SUDV, and BDBV glycoprotein-specific IgG levels by using ELISA. Both rVSV-EBOV and rVSV-SUDV elicited strong humoral responses to their homologous antigens; serum from all animals exhibited maximum absorbance at dilutions of 1:400.  At 16,582, the geometric mean endpoint titer for BDBV glycoprotein-specific IgG was significantly lower than that for EBOV glycoprotein (Wilcoxon statistical test = 3; p = 1.6 × 10–4), despite limited overlap in the range of titers, which extended from 3,200 to 30,270. We detected no EBOV- or BDBV-specific IgG in the control animals. 
The animals survived subsequent challenge with a uniformly lethal dose of the corresponding virus. Serum samples from ferrets vaccinated with rVSV-EBOV exhibited moderate levels of absorbance against BDBV glycoprotein, in contrast with serum samples from animals vaccinated with rVSV-SUDV, which exhibited very low levels of absorbance.  rVSV-EBOV vaccination elicits BDBV-specific antibodies, extending observations that have already been made in humans.</v>
      </c>
      <c r="K119" s="5" t="str">
        <f t="shared" si="23"/>
        <v>Animal studies were conducted at the Canadian Science Centre for Human and Animal Health (CSCHAH) under protocols approved by the Institutional Animal Care Committee, adhering to Canadian Council on Animal Care guidelines. Ferrets were vaccinated intramuscularly with rVSV-EBOV or rVSV-SUDV (2 × 10⁵ PFU/dose) or saline (controls), with serum collected pre-vaccination and on day 27 post-vaccination. IgG levels specific to EBOV, SUDV, and BDBV glycoproteins were measured using indirect ELISA, and statistical analysis (Wilcoxon test) compared reciprocal endpoint titers for EBOV and BDBV glycoproteins.</v>
      </c>
      <c r="N119" s="2" t="str">
        <f t="shared" si="24"/>
        <v>https://doi.org/10.3201/eid3208.260948</v>
      </c>
      <c r="O119" s="20">
        <v>417</v>
      </c>
      <c r="P119" s="20" t="s">
        <v>901</v>
      </c>
      <c r="Q119" s="20" t="s">
        <v>902</v>
      </c>
      <c r="R119" s="20" t="s">
        <v>903</v>
      </c>
      <c r="S119" s="20" t="s">
        <v>904</v>
      </c>
      <c r="T119" s="20" t="s">
        <v>266</v>
      </c>
      <c r="U119" s="2"/>
      <c r="V119" s="20" t="s">
        <v>267</v>
      </c>
      <c r="W119" s="2"/>
      <c r="X119" s="20" t="s">
        <v>905</v>
      </c>
      <c r="Y119" s="2"/>
      <c r="Z119" s="20" t="s">
        <v>21</v>
      </c>
      <c r="AA119" s="2"/>
      <c r="AB119" s="2"/>
      <c r="AC119" s="2"/>
      <c r="AD119" s="20" t="s">
        <v>352</v>
      </c>
      <c r="AE119" s="2"/>
      <c r="AF119" s="20" t="s">
        <v>270</v>
      </c>
      <c r="AG119" s="2"/>
      <c r="AH119" s="2"/>
      <c r="AI119" s="20" t="s">
        <v>271</v>
      </c>
      <c r="AJ119" s="2"/>
      <c r="AK119" s="20" t="s">
        <v>490</v>
      </c>
      <c r="AL119" s="2"/>
      <c r="AM119" s="2"/>
      <c r="AN119" s="2"/>
      <c r="AO119" s="2"/>
      <c r="AP119" s="20" t="s">
        <v>906</v>
      </c>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0" t="s">
        <v>59</v>
      </c>
      <c r="BO119" s="2"/>
      <c r="BP119" s="2"/>
      <c r="BQ119" s="2"/>
      <c r="BR119" s="2"/>
      <c r="BS119" s="2"/>
      <c r="BT119" s="2"/>
      <c r="BU119" s="2"/>
      <c r="BV119" s="2"/>
      <c r="BW119" s="2"/>
      <c r="BX119" s="2"/>
      <c r="BY119" s="2"/>
      <c r="BZ119" s="2"/>
      <c r="CA119" s="2"/>
      <c r="CB119" s="2"/>
      <c r="CC119" s="2"/>
      <c r="CD119" s="2"/>
      <c r="CE119" s="2"/>
      <c r="CF119" s="2"/>
      <c r="CG119" s="2"/>
      <c r="CH119" s="20" t="s">
        <v>79</v>
      </c>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0" t="s">
        <v>73</v>
      </c>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0" t="s">
        <v>73</v>
      </c>
      <c r="EW119" s="2"/>
      <c r="EX119" s="2"/>
      <c r="EY119" s="2"/>
      <c r="EZ119" s="2"/>
      <c r="FA119" s="2"/>
      <c r="FB119" s="2"/>
      <c r="FC119" s="2"/>
      <c r="FD119" s="2"/>
      <c r="FE119" s="2"/>
      <c r="FF119" s="2"/>
      <c r="FG119" s="2"/>
      <c r="FH119" s="2"/>
      <c r="FI119" s="2"/>
      <c r="FJ119" s="2"/>
      <c r="FK119" s="2"/>
      <c r="FL119" s="2"/>
      <c r="FM119" s="2"/>
      <c r="FN119" s="2"/>
      <c r="FO119" s="2"/>
      <c r="FP119" s="2"/>
      <c r="FQ119" s="2"/>
      <c r="FR119" s="20" t="s">
        <v>73</v>
      </c>
      <c r="FS119" s="2"/>
      <c r="FT119" s="2"/>
      <c r="FU119" s="2"/>
      <c r="FV119" s="2"/>
      <c r="FW119" s="2"/>
      <c r="FX119" s="2"/>
      <c r="FY119" s="2"/>
      <c r="FZ119" s="2"/>
      <c r="GA119" s="2"/>
      <c r="GB119" s="20" t="s">
        <v>169</v>
      </c>
      <c r="GC119" s="2"/>
      <c r="GD119" s="2"/>
      <c r="GE119" s="2"/>
      <c r="GF119" s="2"/>
      <c r="GG119" s="2"/>
      <c r="GH119" s="2"/>
      <c r="GI119" s="2"/>
      <c r="GJ119" s="2"/>
      <c r="GK119" s="2"/>
      <c r="GL119" s="2"/>
      <c r="GM119" s="2"/>
      <c r="GN119" s="2"/>
      <c r="GO119" s="2"/>
      <c r="GP119" s="20" t="s">
        <v>73</v>
      </c>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0" t="s">
        <v>73</v>
      </c>
      <c r="HS119" s="2"/>
      <c r="HT119" s="2"/>
      <c r="HU119" s="2"/>
      <c r="HV119" s="2"/>
      <c r="HW119" s="2"/>
      <c r="HX119" s="2"/>
      <c r="HY119" s="2"/>
      <c r="HZ119" s="2"/>
      <c r="IA119" s="2"/>
      <c r="IB119" s="20" t="s">
        <v>73</v>
      </c>
      <c r="IC119" s="2"/>
      <c r="ID119" s="2"/>
      <c r="IE119" s="2"/>
      <c r="IF119" s="2"/>
      <c r="IG119" s="2"/>
      <c r="IH119" s="2"/>
      <c r="II119" s="2"/>
      <c r="IJ119" s="20" t="s">
        <v>73</v>
      </c>
      <c r="IK119" s="2"/>
      <c r="IL119" s="2"/>
      <c r="IM119" s="2"/>
      <c r="IN119" s="2"/>
      <c r="IO119" s="2"/>
      <c r="IP119" s="2"/>
      <c r="IQ119" s="2"/>
      <c r="IR119" s="2"/>
      <c r="IS119" s="2"/>
      <c r="IT119" s="20" t="s">
        <v>73</v>
      </c>
      <c r="IU119" s="2"/>
      <c r="IV119" s="2"/>
      <c r="IW119" s="2"/>
      <c r="IX119" s="20" t="s">
        <v>73</v>
      </c>
      <c r="IY119" s="2"/>
      <c r="IZ119" s="2"/>
      <c r="JA119" s="2"/>
      <c r="JB119" s="20" t="s">
        <v>73</v>
      </c>
      <c r="JC119" s="2"/>
      <c r="JD119" s="2"/>
      <c r="JE119" s="2"/>
      <c r="JF119" s="20" t="s">
        <v>73</v>
      </c>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0" t="s">
        <v>73</v>
      </c>
      <c r="KG119" s="2"/>
      <c r="KH119" s="20" t="s">
        <v>907</v>
      </c>
      <c r="KI119" s="2"/>
      <c r="KJ119" s="20" t="s">
        <v>908</v>
      </c>
      <c r="KK119" s="2"/>
    </row>
    <row r="120" spans="1:297" ht="60" customHeight="1" x14ac:dyDescent="0.25">
      <c r="A120" s="5" t="str">
        <f t="shared" si="13"/>
        <v xml:space="preserve">Nachega, et al, (2026) </v>
      </c>
      <c r="B120" s="3" t="str">
        <f t="shared" si="14"/>
        <v>Clinical trial priorities, adaptive strategies, and equitable partnerships for the Bundibugyo Ebola outbreak</v>
      </c>
      <c r="C120" s="4" t="str">
        <f t="shared" si="15"/>
        <v>Commentary, Peer-reviewed publication</v>
      </c>
      <c r="D120" s="4" t="str">
        <f t="shared" si="16"/>
        <v>Bundibugyo</v>
      </c>
      <c r="E120" s="4" t="str">
        <f t="shared" si="17"/>
        <v>Yes</v>
      </c>
      <c r="F120" s="4" t="str">
        <f t="shared" si="18"/>
        <v/>
      </c>
      <c r="G120" s="4" t="str">
        <f t="shared" si="19"/>
        <v/>
      </c>
      <c r="H120" s="4" t="str">
        <f t="shared" si="20"/>
        <v/>
      </c>
      <c r="I120" s="4" t="str">
        <f t="shared" si="21"/>
        <v/>
      </c>
      <c r="J120" s="5" t="str">
        <f t="shared" si="22"/>
        <v/>
      </c>
      <c r="K120" s="5" t="str">
        <f t="shared" si="23"/>
        <v/>
      </c>
      <c r="N120" s="2" t="str">
        <f t="shared" si="24"/>
        <v>https://doi.org/10.1016/s1473-3099(26)00315-4</v>
      </c>
      <c r="O120" s="20">
        <v>418</v>
      </c>
      <c r="P120" s="20" t="s">
        <v>1374</v>
      </c>
      <c r="Q120" s="20" t="s">
        <v>909</v>
      </c>
      <c r="R120" s="20" t="s">
        <v>910</v>
      </c>
      <c r="S120" s="20" t="s">
        <v>911</v>
      </c>
      <c r="T120" s="20" t="s">
        <v>266</v>
      </c>
      <c r="U120" s="2"/>
      <c r="V120" s="20">
        <v>2</v>
      </c>
      <c r="W120" s="2"/>
      <c r="X120" s="20" t="s">
        <v>912</v>
      </c>
      <c r="Y120" s="2"/>
      <c r="Z120" s="20" t="s">
        <v>21</v>
      </c>
      <c r="AA120" s="2"/>
      <c r="AB120" s="2"/>
      <c r="AC120" s="2"/>
      <c r="AD120" s="20" t="s">
        <v>352</v>
      </c>
      <c r="AE120" s="2"/>
      <c r="AF120" s="20" t="s">
        <v>270</v>
      </c>
      <c r="AG120" s="2"/>
      <c r="AH120" s="2"/>
      <c r="AI120" s="20" t="s">
        <v>271</v>
      </c>
      <c r="AJ120" s="2"/>
      <c r="AK120" s="20" t="s">
        <v>425</v>
      </c>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row>
    <row r="121" spans="1:297" ht="60" customHeight="1" x14ac:dyDescent="0.25">
      <c r="A121" s="5" t="str">
        <f t="shared" si="13"/>
        <v xml:space="preserve">Mbulayi, et al, (2026) </v>
      </c>
      <c r="B121" s="3" t="str">
        <f t="shared" si="14"/>
        <v>Real-time epidemic intelligence in a public health emergency: the 2026 Bundibugyo virus outbreak</v>
      </c>
      <c r="C121" s="4" t="str">
        <f t="shared" si="15"/>
        <v>Commentary, Peer-reviewed publication</v>
      </c>
      <c r="D121" s="4" t="str">
        <f t="shared" si="16"/>
        <v>Bundibugyo</v>
      </c>
      <c r="E121" s="4" t="str">
        <f t="shared" si="17"/>
        <v>Yes</v>
      </c>
      <c r="F121" s="4" t="str">
        <f t="shared" si="18"/>
        <v/>
      </c>
      <c r="G121" s="4" t="str">
        <f t="shared" si="19"/>
        <v/>
      </c>
      <c r="H121" s="4" t="str">
        <f t="shared" si="20"/>
        <v/>
      </c>
      <c r="I121" s="4" t="str">
        <f t="shared" si="21"/>
        <v/>
      </c>
      <c r="J121" s="5" t="str">
        <f t="shared" si="22"/>
        <v/>
      </c>
      <c r="K121" s="5" t="str">
        <f t="shared" si="23"/>
        <v/>
      </c>
      <c r="N121" s="2" t="str">
        <f t="shared" si="24"/>
        <v>https://doi.org/10.1016/s1473-3099(26)00330-0</v>
      </c>
      <c r="O121" s="20">
        <v>419</v>
      </c>
      <c r="P121" s="20" t="s">
        <v>1384</v>
      </c>
      <c r="Q121" s="20" t="s">
        <v>913</v>
      </c>
      <c r="R121" s="20" t="s">
        <v>914</v>
      </c>
      <c r="S121" s="20" t="s">
        <v>915</v>
      </c>
      <c r="T121" s="20" t="s">
        <v>266</v>
      </c>
      <c r="U121" s="2"/>
      <c r="V121" s="20">
        <v>2</v>
      </c>
      <c r="W121" s="2"/>
      <c r="X121" s="20" t="s">
        <v>916</v>
      </c>
      <c r="Y121" s="2"/>
      <c r="Z121" s="20" t="s">
        <v>21</v>
      </c>
      <c r="AA121" s="2"/>
      <c r="AB121" s="2"/>
      <c r="AC121" s="2"/>
      <c r="AD121" s="20" t="s">
        <v>352</v>
      </c>
      <c r="AE121" s="2"/>
      <c r="AF121" s="20" t="s">
        <v>270</v>
      </c>
      <c r="AG121" s="2"/>
      <c r="AH121" s="2"/>
      <c r="AI121" s="20" t="s">
        <v>271</v>
      </c>
      <c r="AJ121" s="2"/>
      <c r="AK121" s="20" t="s">
        <v>425</v>
      </c>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row>
    <row r="122" spans="1:297" ht="60" customHeight="1" x14ac:dyDescent="0.25">
      <c r="A122" s="5" t="str">
        <f t="shared" si="13"/>
        <v>Akilimali, et al, (2026), The New England journal of medicine</v>
      </c>
      <c r="B122" s="3" t="str">
        <f t="shared" si="14"/>
        <v>Clinical Characteristics of Patients Infected with Bundibugyo Virus, DRC 2026</v>
      </c>
      <c r="C122" s="4" t="str">
        <f t="shared" si="15"/>
        <v>Primary - short communication, Observational, Peer-reviewed publication</v>
      </c>
      <c r="D122" s="4" t="str">
        <f t="shared" si="16"/>
        <v>Bundibugyo</v>
      </c>
      <c r="E122" s="4" t="str">
        <f t="shared" si="17"/>
        <v>Yes</v>
      </c>
      <c r="F122" s="4" t="str">
        <f t="shared" si="18"/>
        <v>This retrospective cohort study analyzed 2,351 recorded cases of suspected  Bundibugyo virus disease (BVD), finding 505 laboratory-confirmed cases (21.5%) and 635 negative tests (27.0%), with confirmed cases showing higher mortality than those that tested negative (18.8% vs. 10.2%).  Demographic and symptom profiles were similar across groups, with confirmed cases more likely to present with fever, gastrointestinal symptoms, and systemic signs than those that tested negative.  Among 129 confirmed cases , a 7.4-day mean delay between symptom onset and sample collection was observed and among 253 confirmed cases, patients who died had lower cycle-threshold (Ct) values, indicating a higher viral load, than those with no recorded death (median Ct value, 24.4 vs. 28.7; mean difference in Ct value, −3.7.</v>
      </c>
      <c r="G122" s="4" t="str">
        <f t="shared" si="19"/>
        <v>Other Epi; Acute infection characteristics; Other clinical data</v>
      </c>
      <c r="H122" s="4" t="str">
        <f t="shared" si="20"/>
        <v>Human - General population</v>
      </c>
      <c r="I122" s="4" t="str">
        <f t="shared" si="21"/>
        <v/>
      </c>
      <c r="J122" s="5" t="str">
        <f t="shared" si="22"/>
        <v>CLINICAL DATA Acute infection: 
Patients with confirmed BVD frequently presented with fever (74.3%), gastrointestinal symptoms (vomiting 66.7%, diarrhea 67.4%), and systemic signs like headache (42.2%) and difficulty breathing (34.1%), while hemorrhagic signs were rare (10.4%).  
In confirmed cases, the symptom profile varied little according to patient sex or age after mutual adjustment. Fever was somewhat less frequent in male patients than in female patients (adjusted risk ratio, 0.88; 95% confidence interval [CI], 0.78 to 1.00), and headache became less frequent with increasing age (adjusted risk ratio, 0.89 per 10-year increment; 95% CI, 0.83 to 0.96). Cough was modestly more common in male patients than in female patients (adjusted risk ratio, 1.89; 95% CI, 1.01 to 3.53), as was chest pain (adjusted risk ratio, 1.94; 95% CI, 1.01 to 3.71), whereas the relative risk of other signs and symptoms did not vary substantially according to patient sex or age. 
The signs-and-symptoms profile distinguished confirmed BVD cases from negative cases, with confirmed patients more likely to report vomiting (66.7% vs. 50.8%), diarrhea (67.4% vs. 49.6%), anorexia (39.5% vs. 17.2%), abdominal pain (37.3% vs. 16.3%), difficulty breathing (34.1% vs. 10.9%), and difficulty swallowing (32.8% vs. 10.7%); fever was also more frequent in confirmed cases (74.3% vs. 64.9%), while hemorrhagic signs showed no substantial difference (10.4% vs. 10.3%).
CLINICAL DATA OTHER:
Patients with confirmed BVD were demographically similar to those who tested negative; in both groups, the majority of patients were adults 20 and 39 years of age, and there were slightly more female patients than male patients.
RISK FACTORS OF MORTALITY :
Among 253 patients with laboratory-confirmed positive samples tested with the RADIONE PCR assay2 from the laboratory in Bunia, Ituri Province, DRC (as of June 5, 2026), patients who died had lower cycle-threshold (Ct) values, indicating a higher viral load, than those with no recorded death (median Ct value, 24.4 [interquartile range, 21.3 to 26.9] vs. 28.7 [interquartile range, 25.0 to 32.5]; mean difference in Ct value, −3.7 [95% CI, −5.2 to −2.3]).
EPIDEMIOLOGICAL PARAMETER - OTHER:
Among 129 patients who tested positive for whom the symptom-onset and sample dates were recorded, the mean delay, with accounting for right truncation and censoring was 7.4 days (95% credible interval, 5.3 to 13.5; median, 4.8 days [95% credible interval, 3.5 to 7.8]). The 7.4-day mean delay between symptom onset and the date on which samples were obtained may reflect a lack of diagnostic capacity early during the outbreak.</v>
      </c>
      <c r="K122" s="5" t="str">
        <f t="shared" si="23"/>
        <v>We report here signs and symptoms and basic laboratory data from the current 2026 BVD outbreak in the Democratic Republic of Congo (DRC). 
Among 2351 recorded cases in the individual-level database for BVD between May 3 and June 8, 2026, a total of 505 patients (21.5%) had a laboratory-confirmed case of BVD (as determined by Altona Diagnostics and RADIONE polymerase-chain-reaction [PCR] tests2), and 635 patients (27.0%) with suspected BVD tested negative. The remaining patients were untested, had pending results, or had results that remained classified as being suspected or probable. Among the 505 patients with laboratory-confirmed BVD who had records in the database, 95 (18.8%) had died by the data-cutoff date, as compared with 65 of the 635 patients (10.2%) who had tested negative. This finding cannot be interpreted as the case fatality rate owing to limited data on final outcome and unknown denominators.</v>
      </c>
      <c r="N122" s="2" t="str">
        <f t="shared" si="24"/>
        <v>https://doi.org/10.1056/nejmc2608070</v>
      </c>
      <c r="O122" s="20">
        <v>420</v>
      </c>
      <c r="P122" s="20" t="s">
        <v>917</v>
      </c>
      <c r="Q122" s="20" t="s">
        <v>918</v>
      </c>
      <c r="R122" s="20" t="s">
        <v>919</v>
      </c>
      <c r="S122" s="20" t="s">
        <v>920</v>
      </c>
      <c r="T122" s="20" t="s">
        <v>266</v>
      </c>
      <c r="U122" s="2"/>
      <c r="V122" s="20" t="s">
        <v>267</v>
      </c>
      <c r="W122" s="2"/>
      <c r="X122" s="20" t="s">
        <v>921</v>
      </c>
      <c r="Y122" s="2"/>
      <c r="Z122" s="20" t="s">
        <v>21</v>
      </c>
      <c r="AA122" s="2"/>
      <c r="AB122" s="2"/>
      <c r="AC122" s="2"/>
      <c r="AD122" s="20" t="s">
        <v>352</v>
      </c>
      <c r="AE122" s="2"/>
      <c r="AF122" s="20" t="s">
        <v>270</v>
      </c>
      <c r="AG122" s="2"/>
      <c r="AH122" s="2"/>
      <c r="AI122" s="20" t="s">
        <v>271</v>
      </c>
      <c r="AJ122" s="2"/>
      <c r="AK122" s="20" t="s">
        <v>490</v>
      </c>
      <c r="AL122" s="2"/>
      <c r="AM122" s="2"/>
      <c r="AN122" s="2"/>
      <c r="AO122" s="2"/>
      <c r="AP122" s="20" t="s">
        <v>922</v>
      </c>
      <c r="AQ122" s="2"/>
      <c r="AR122" s="20" t="s">
        <v>37</v>
      </c>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0" t="s">
        <v>75</v>
      </c>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0" t="s">
        <v>73</v>
      </c>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0" t="s">
        <v>139</v>
      </c>
      <c r="EU122" s="2"/>
      <c r="EV122" s="2"/>
      <c r="EW122" s="2"/>
      <c r="EX122" s="20" t="s">
        <v>141</v>
      </c>
      <c r="EY122" s="2"/>
      <c r="EZ122" s="2"/>
      <c r="FA122" s="2"/>
      <c r="FB122" s="2"/>
      <c r="FC122" s="2"/>
      <c r="FD122" s="2"/>
      <c r="FE122" s="2"/>
      <c r="FF122" s="2"/>
      <c r="FG122" s="2"/>
      <c r="FH122" s="2"/>
      <c r="FI122" s="2"/>
      <c r="FJ122" s="2"/>
      <c r="FK122" s="2"/>
      <c r="FL122" s="2"/>
      <c r="FM122" s="2"/>
      <c r="FN122" s="2"/>
      <c r="FO122" s="2"/>
      <c r="FP122" s="20" t="s">
        <v>159</v>
      </c>
      <c r="FQ122" s="2"/>
      <c r="FR122" s="2"/>
      <c r="FS122" s="2"/>
      <c r="FT122" s="2"/>
      <c r="FU122" s="2"/>
      <c r="FV122" s="2"/>
      <c r="FW122" s="2"/>
      <c r="FX122" s="2"/>
      <c r="FY122" s="2"/>
      <c r="FZ122" s="2"/>
      <c r="GA122" s="2"/>
      <c r="GB122" s="2"/>
      <c r="GC122" s="2"/>
      <c r="GD122" s="2"/>
      <c r="GE122" s="2"/>
      <c r="GF122" s="20" t="s">
        <v>73</v>
      </c>
      <c r="GG122" s="2"/>
      <c r="GH122" s="2"/>
      <c r="GI122" s="2"/>
      <c r="GJ122" s="2"/>
      <c r="GK122" s="2"/>
      <c r="GL122" s="2"/>
      <c r="GM122" s="2"/>
      <c r="GN122" s="2"/>
      <c r="GO122" s="2"/>
      <c r="GP122" s="20" t="s">
        <v>73</v>
      </c>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0" t="s">
        <v>73</v>
      </c>
      <c r="HS122" s="2"/>
      <c r="HT122" s="2"/>
      <c r="HU122" s="2"/>
      <c r="HV122" s="2"/>
      <c r="HW122" s="2"/>
      <c r="HX122" s="2"/>
      <c r="HY122" s="2"/>
      <c r="HZ122" s="2"/>
      <c r="IA122" s="2"/>
      <c r="IB122" s="20" t="s">
        <v>73</v>
      </c>
      <c r="IC122" s="2"/>
      <c r="ID122" s="2"/>
      <c r="IE122" s="2"/>
      <c r="IF122" s="2"/>
      <c r="IG122" s="2"/>
      <c r="IH122" s="2"/>
      <c r="II122" s="2"/>
      <c r="IJ122" s="20" t="s">
        <v>73</v>
      </c>
      <c r="IK122" s="2"/>
      <c r="IL122" s="2"/>
      <c r="IM122" s="2"/>
      <c r="IN122" s="2"/>
      <c r="IO122" s="2"/>
      <c r="IP122" s="2"/>
      <c r="IQ122" s="2"/>
      <c r="IR122" s="2"/>
      <c r="IS122" s="2"/>
      <c r="IT122" s="20" t="s">
        <v>73</v>
      </c>
      <c r="IU122" s="2"/>
      <c r="IV122" s="2"/>
      <c r="IW122" s="2"/>
      <c r="IX122" s="20" t="s">
        <v>73</v>
      </c>
      <c r="IY122" s="2"/>
      <c r="IZ122" s="2"/>
      <c r="JA122" s="2"/>
      <c r="JB122" s="20" t="s">
        <v>73</v>
      </c>
      <c r="JC122" s="2"/>
      <c r="JD122" s="2"/>
      <c r="JE122" s="2"/>
      <c r="JF122" s="20" t="s">
        <v>73</v>
      </c>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0" t="s">
        <v>73</v>
      </c>
      <c r="KG122" s="2"/>
      <c r="KH122" s="20" t="s">
        <v>923</v>
      </c>
      <c r="KI122" s="2"/>
      <c r="KJ122" s="20" t="s">
        <v>924</v>
      </c>
      <c r="KK122" s="2"/>
    </row>
    <row r="123" spans="1:297" ht="60" customHeight="1" x14ac:dyDescent="0.25">
      <c r="A123" s="5" t="str">
        <f t="shared" si="13"/>
        <v>Sullivan, et al, (2026), The New England journal of medicine</v>
      </c>
      <c r="B123" s="3" t="str">
        <f t="shared" si="14"/>
        <v>Bundibugyo Virus Disease in 2026 - Clinical and Public Health Responses</v>
      </c>
      <c r="C123" s="4" t="str">
        <f t="shared" si="15"/>
        <v>Lit review, Peer-reviewed publication</v>
      </c>
      <c r="D123" s="4" t="str">
        <f t="shared" si="16"/>
        <v>Bundibugyo</v>
      </c>
      <c r="E123" s="4" t="str">
        <f t="shared" si="17"/>
        <v>Yes</v>
      </c>
      <c r="F123" s="4" t="str">
        <f t="shared" si="18"/>
        <v/>
      </c>
      <c r="G123" s="4" t="str">
        <f t="shared" si="19"/>
        <v/>
      </c>
      <c r="H123" s="4" t="str">
        <f t="shared" si="20"/>
        <v/>
      </c>
      <c r="I123" s="4" t="str">
        <f t="shared" si="21"/>
        <v/>
      </c>
      <c r="J123" s="5" t="str">
        <f t="shared" si="22"/>
        <v/>
      </c>
      <c r="K123" s="5" t="str">
        <f t="shared" si="23"/>
        <v/>
      </c>
      <c r="N123" s="2" t="str">
        <f t="shared" si="24"/>
        <v>https://doi.org/10.1056/nejmra2607216</v>
      </c>
      <c r="O123" s="20">
        <v>421</v>
      </c>
      <c r="P123" s="20" t="s">
        <v>925</v>
      </c>
      <c r="Q123" s="20" t="s">
        <v>926</v>
      </c>
      <c r="R123" s="20" t="s">
        <v>927</v>
      </c>
      <c r="S123" s="20" t="s">
        <v>928</v>
      </c>
      <c r="T123" s="20" t="s">
        <v>266</v>
      </c>
      <c r="U123" s="2"/>
      <c r="V123" s="20">
        <v>2</v>
      </c>
      <c r="W123" s="2"/>
      <c r="X123" s="20" t="s">
        <v>929</v>
      </c>
      <c r="Y123" s="2"/>
      <c r="Z123" s="20" t="s">
        <v>21</v>
      </c>
      <c r="AA123" s="2"/>
      <c r="AB123" s="2"/>
      <c r="AC123" s="2"/>
      <c r="AD123" s="20" t="s">
        <v>352</v>
      </c>
      <c r="AE123" s="2"/>
      <c r="AF123" s="20" t="s">
        <v>270</v>
      </c>
      <c r="AG123" s="2"/>
      <c r="AH123" s="2"/>
      <c r="AI123" s="20" t="s">
        <v>271</v>
      </c>
      <c r="AJ123" s="2"/>
      <c r="AK123" s="20" t="s">
        <v>346</v>
      </c>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row>
    <row r="124" spans="1:297" ht="60" customHeight="1" x14ac:dyDescent="0.25">
      <c r="A124" s="5" t="str">
        <f t="shared" si="13"/>
        <v xml:space="preserve">Walekhwa, et al, (2026) </v>
      </c>
      <c r="B124" s="3" t="str">
        <f t="shared" si="14"/>
        <v>Projected epidemiologic and economic impact of the 7-1-7 outbreak response framework in Uganda: a stochastic modelling study of Bundibugyo Ebola virus</v>
      </c>
      <c r="C124" s="4" t="str">
        <f t="shared" si="15"/>
        <v>Primary - article, Modeling, Preprint</v>
      </c>
      <c r="D124" s="4" t="str">
        <f t="shared" si="16"/>
        <v>Bundibugyo</v>
      </c>
      <c r="E124" s="4" t="str">
        <f t="shared" si="17"/>
        <v>Yes</v>
      </c>
      <c r="F124" s="4" t="str">
        <f t="shared" si="18"/>
        <v>This study uses a counterfactual scenario modelling approach to answer: "what would be the projected epidemiologic and economic impact if Uganda implements a rapid 7-1-7 (detection ≤7 days, notification ≤1 day, response ≤7 days) compared with a delayed response, under varying importation pressures?" by using a rapid 3-1-5 response (detection 3 days, notification 1 day, response 5 days) against a delayed counterfactual (detection 11 days, notification 10 days,response 12 days),. They found that a rapid 3-1-5 response (detection 3 days, notification 1 day, response 5 days) reduces median cumulative cases by 6066% and deaths by 62–63% compared to a delayed counterfactual (11-10-12 days), across import probabilities from 10% to the observed 56%; the rapid response is strictly dominant (cost-saving and life-saving) for all import levels, with total costs of USD 29.1–29.9 million versus USD 37.4–38.1 million for the delayed scenario; the case fatality rate, import probability, and basic reproduction number are the dominant drivers of outcome uncertainty.</v>
      </c>
      <c r="G124" s="4" t="str">
        <f t="shared" si="19"/>
        <v>Size or Duration estimate; Mortality; Economic cost of disease</v>
      </c>
      <c r="H124" s="4" t="str">
        <f t="shared" si="20"/>
        <v>Human - General population</v>
      </c>
      <c r="I124" s="4" t="str">
        <f t="shared" si="21"/>
        <v/>
      </c>
      <c r="J124" s="5" t="str">
        <f t="shared" si="22"/>
        <v>Epidemiological Parameter - ESTIMATES OF OUTBREAK SIZE AND DURATION:
Rapid response: Median cumulative cases ranged from 26-31 with a narrow interquartile range (21-39).  Under the rapid 3-1-5 response, cumulative infections rise slowly and plateau below 40 cases by day 90, with overlapping uncertainty bands across import levels. 
Delayed response: the delayed scenario produced substantially larger outbreaks: median cases ranged from 76 (10% import) to 80 (30% import) and 78 (56% import), with upper 95% uncertainty limits exceeding 120 cases.  
CLINICAL DATA: MORTALITY pg15
Rapid response:   Median deaths were 3 across all import levels, and health worker infections ranged from 6 to 8. 
Delayed response: Median deaths were 8 for all delayed scenarios, health worker infections were 27–31, 
ECONOMIC COSTS
Rapid response:   Total costs were approximately USD 29.1–29.9 million, and DALYs were 101 for all import levels. 
Delayed scenario:  Total costs were USD 37.4–38.1 million. 
DALYs in the delayed scenario were 270–285, approximately 2.7 times higher than in the rapid response. The rapid 3-1-5 scenario therefore averted 52–54 deaths per 100,000 population compared to the delayed response, with cost savings of USD 7.5–8.6 million per import level. The incremental cost-effectiveness ratio (ICER) was negative for all comparisons, confirming that the rapid response is strictly dominant (less costly and more effective)</v>
      </c>
      <c r="K124" s="5" t="str">
        <f t="shared" si="23"/>
        <v>This study uses a stochastic SEIR model to evaluate the *7-1-7  ( (detection ≤7 days, notification ≤1 day, response ≤7 days) outbreak response framework in Uganda with the Bundibugyo Ebola strain  Using a stochastic SEIR model parameterised for Uganda with the Bundibugyo Ebola strain and three daily importation probabilities (10%, 30%, and the observed 56%), we compared a rapid 3-1-5 response (detection 3 days, notification 1 day, response 5 days) against a delayed counterfactual (detection 11 days, notification 10 days, response 12 days).  The Sobol global sensitivity analysis was used to quantify the contribution of 16 parameters to the uncertainty in total deaths. Variance-based Sobol sensitivity analysis identified the case fatality rate, import probability, and basic reproduction number as the most influential parameters, with detection and response delays contributing through interactions.
All parameters (Table 1) were obtained from the Uganda Ministry of Health Situation Report No. 005 (26 May 2026) (MOH Uganda, 2026) and the updated Situation Report of 8 June 2026 (MOH, 8 June 2026), the WHO risk assessment (WHO PHEIC, 2026), a meta-analysis of Bundibugyo strain 0 (Muzembo et al., 2024), and literature on Ebola transmission dynamics (Althaus, 2014; Velasquez et al., 2015). The 0 was set to 2.76 – the upper bound of the 95% confidence interval (1.25–2.76) reported for the Bundibugyo strain – to reflect the most transmissible scenario and provide a conservative test of the rapid response. 
Costs were estimated from the health system perspective in 2026 USD. The Uganda Ministry of Health’s 4W matrix (Who is doing What, Where, and When) provided a detailed 90-day fixed response budget of USD 24,707,459, disaggregated into 11 operational pillars. Because most of these costs are fixed regardless of outbreak size (e.g., maintaining the Emergency Operations Centre, laboratories, and coordination structures), we derived a cost per case from the median case count under the rapid 7-1-7 scenario with the lowest importation risk (10%). The median number of cases in that scenario was 3, giving a cost per case of USD 24,707,459 / 3 ≈ USD 8,235,820. For other scenarios, total cost = cost per case × median cases. Disability-adjusted life years (DALYs) were calculated as DALY = YLL + YLD. Years of life lost (YLL) = deaths × (life expectancy at age of death − age at death), using average age at death = 35 years and life expectancy at birth for Uganda = 68 years (WHO 2023).   Years lived with disability (YLD) = cases × disability weight × duration, with disability weight for acute EVD = 0.133 and duration of acute disability = 180 days (0.493 years) (GBD 2021 Disability Weights Collaborators, 2024). The incremental cost-effectiveness ratio (ICER) compared the delayed scenario (baseline) to the rapid 7-1-7 scenario (intervention) for each import level.</v>
      </c>
      <c r="N124" s="2" t="str">
        <f t="shared" si="24"/>
        <v>https://doi.org/10.21203/rs.3.rs-10019597/v1</v>
      </c>
      <c r="O124" s="20">
        <v>422</v>
      </c>
      <c r="P124" s="20" t="s">
        <v>1385</v>
      </c>
      <c r="Q124" s="20" t="s">
        <v>930</v>
      </c>
      <c r="R124" s="20" t="s">
        <v>931</v>
      </c>
      <c r="S124" s="20" t="s">
        <v>932</v>
      </c>
      <c r="T124" s="20" t="s">
        <v>266</v>
      </c>
      <c r="U124" s="2"/>
      <c r="V124" s="20" t="s">
        <v>267</v>
      </c>
      <c r="W124" s="2"/>
      <c r="X124" s="20" t="s">
        <v>933</v>
      </c>
      <c r="Y124" s="2"/>
      <c r="Z124" s="20" t="s">
        <v>21</v>
      </c>
      <c r="AA124" s="2"/>
      <c r="AB124" s="2"/>
      <c r="AC124" s="2"/>
      <c r="AD124" s="20" t="s">
        <v>352</v>
      </c>
      <c r="AE124" s="2"/>
      <c r="AF124" s="20" t="s">
        <v>270</v>
      </c>
      <c r="AG124" s="2"/>
      <c r="AH124" s="2"/>
      <c r="AI124" s="20" t="s">
        <v>353</v>
      </c>
      <c r="AJ124" s="2"/>
      <c r="AK124" s="20" t="s">
        <v>272</v>
      </c>
      <c r="AL124" s="2"/>
      <c r="AM124" s="2"/>
      <c r="AN124" s="2"/>
      <c r="AO124" s="2"/>
      <c r="AP124" s="20" t="s">
        <v>934</v>
      </c>
      <c r="AQ124" s="2"/>
      <c r="AR124" s="20" t="s">
        <v>37</v>
      </c>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0" t="s">
        <v>83</v>
      </c>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0" t="s">
        <v>73</v>
      </c>
      <c r="DW124" s="2"/>
      <c r="DX124" s="2"/>
      <c r="DY124" s="2"/>
      <c r="DZ124" s="2"/>
      <c r="EA124" s="2"/>
      <c r="EB124" s="2"/>
      <c r="EC124" s="2"/>
      <c r="ED124" s="2"/>
      <c r="EE124" s="2"/>
      <c r="EF124" s="2"/>
      <c r="EG124" s="2"/>
      <c r="EH124" s="2"/>
      <c r="EI124" s="2"/>
      <c r="EJ124" s="2"/>
      <c r="EK124" s="2"/>
      <c r="EL124" s="2"/>
      <c r="EM124" s="2"/>
      <c r="EN124" s="2"/>
      <c r="EO124" s="2"/>
      <c r="EP124" s="20" t="s">
        <v>135</v>
      </c>
      <c r="EQ124" s="2"/>
      <c r="ER124" s="2"/>
      <c r="ES124" s="2"/>
      <c r="ET124" s="2"/>
      <c r="EU124" s="2"/>
      <c r="EV124" s="2"/>
      <c r="EW124" s="2"/>
      <c r="EX124" s="2"/>
      <c r="EY124" s="2"/>
      <c r="EZ124" s="2"/>
      <c r="FA124" s="2"/>
      <c r="FB124" s="2"/>
      <c r="FC124" s="2"/>
      <c r="FD124" s="2"/>
      <c r="FE124" s="2"/>
      <c r="FF124" s="20" t="s">
        <v>149</v>
      </c>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0" t="s">
        <v>73</v>
      </c>
      <c r="GG124" s="2"/>
      <c r="GH124" s="2"/>
      <c r="GI124" s="2"/>
      <c r="GJ124" s="2"/>
      <c r="GK124" s="2"/>
      <c r="GL124" s="2"/>
      <c r="GM124" s="2"/>
      <c r="GN124" s="2"/>
      <c r="GO124" s="2"/>
      <c r="GP124" s="20" t="s">
        <v>73</v>
      </c>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0" t="s">
        <v>73</v>
      </c>
      <c r="HS124" s="2"/>
      <c r="HT124" s="2"/>
      <c r="HU124" s="2"/>
      <c r="HV124" s="2"/>
      <c r="HW124" s="2"/>
      <c r="HX124" s="2"/>
      <c r="HY124" s="2"/>
      <c r="HZ124" s="2"/>
      <c r="IA124" s="2"/>
      <c r="IB124" s="20" t="s">
        <v>73</v>
      </c>
      <c r="IC124" s="2"/>
      <c r="ID124" s="2"/>
      <c r="IE124" s="2"/>
      <c r="IF124" s="2"/>
      <c r="IG124" s="2"/>
      <c r="IH124" s="2"/>
      <c r="II124" s="2"/>
      <c r="IJ124" s="20" t="s">
        <v>73</v>
      </c>
      <c r="IK124" s="2"/>
      <c r="IL124" s="2"/>
      <c r="IM124" s="2"/>
      <c r="IN124" s="2"/>
      <c r="IO124" s="2"/>
      <c r="IP124" s="2"/>
      <c r="IQ124" s="2"/>
      <c r="IR124" s="2"/>
      <c r="IS124" s="2"/>
      <c r="IT124" s="20" t="s">
        <v>73</v>
      </c>
      <c r="IU124" s="2"/>
      <c r="IV124" s="20" t="s">
        <v>229</v>
      </c>
      <c r="IW124" s="2"/>
      <c r="IX124" s="2"/>
      <c r="IY124" s="2"/>
      <c r="IZ124" s="2"/>
      <c r="JA124" s="2"/>
      <c r="JB124" s="20" t="s">
        <v>73</v>
      </c>
      <c r="JC124" s="2"/>
      <c r="JD124" s="2"/>
      <c r="JE124" s="2"/>
      <c r="JF124" s="20" t="s">
        <v>73</v>
      </c>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0" t="s">
        <v>73</v>
      </c>
      <c r="KG124" s="2"/>
      <c r="KH124" s="20" t="s">
        <v>935</v>
      </c>
      <c r="KI124" s="2"/>
      <c r="KJ124" s="20" t="s">
        <v>936</v>
      </c>
      <c r="KK124" s="2"/>
    </row>
    <row r="125" spans="1:297" ht="60" customHeight="1" x14ac:dyDescent="0.25">
      <c r="A125" s="5" t="str">
        <f t="shared" si="13"/>
        <v>Zhang, et al, (2026), Zoological Research</v>
      </c>
      <c r="B125" s="3" t="str">
        <f t="shared" si="14"/>
        <v>Lethal VSV-based surrogate mouse models for Sudan and Bundibugyo ebolaviruses enable antibody evaluation under BSL-2 conditions</v>
      </c>
      <c r="C125" s="4" t="str">
        <f t="shared" si="15"/>
        <v>Primary - article, Experimental, Peer-reviewed publication</v>
      </c>
      <c r="D125" s="4" t="str">
        <f t="shared" si="16"/>
        <v>Bundibugyo</v>
      </c>
      <c r="E125" s="4" t="str">
        <f t="shared" si="17"/>
        <v>No</v>
      </c>
      <c r="F125" s="4" t="str">
        <f t="shared" si="18"/>
        <v>This study generated recombinant vesicular stomatitis viruses expressing SUDV or BDBV glycoproteins and  established  lethal  infection  models  in  Type  I interferon receptor knockout mice.  Bot viruses induced rapid, dose-dependent mortality; infected mice developed high viral loads in the liver,  spleen, and  lungs,  along with leukopenia, thrombocytopenia, and elevated  transaminases  indicating systemic infection and liver injury. Treatment with a single monoclonal  antibody  rEBOV-515   completely protected mice from lethal challenge, reducing viral loads and  restoring  body  weight, establishing reproducible surrogate models for studying  SUDV and BDBV  infection and provide an accessible experimental platform for evaluating GP-targeting therapeutic strategies.</v>
      </c>
      <c r="G125" s="4" t="str">
        <f t="shared" si="19"/>
        <v>Infection immunity measures (Ab, titre, cytokines)</v>
      </c>
      <c r="H125" s="4" t="str">
        <f t="shared" si="20"/>
        <v>Animal - model of disease</v>
      </c>
      <c r="I125" s="4" t="str">
        <f t="shared" si="21"/>
        <v/>
      </c>
      <c r="J125" s="5" t="str">
        <f t="shared" si="22"/>
        <v>Infection immunity -  MEASURES OF PROTECTIVE antibodies/titres/cytokines):
 In  the  VSV∆G-SUDV  GP  cohort,  untreated  mice  exhibited rapid  and  sustained  weight  loss,  succumbing  by  day  4  post infection.  In  contrast,  antibody-treated  animals  showed transient  weight  reduction  followed  by  full  recovery,  resulting in 100% survival . Similarly, infection with VSV∆G-BDBV GP induced progressive weight loss beginning at day 2, with  complete  mortality  by  day  7  in  untreated  controls. Administration  of  mAb  515  markedly  attenuated  weight  loss and  conferred  complete  protection,  with  all  treated  mice surviving to the study endpoint. Quantitative  analysis  of  viral  burden  in  major  organs revealed  that  antibody  treatment  prevented  an  increase  in both viral RNA copies and infectious titers. In VSV∆G-SUDV GP  infected  mice,  mAb  515  reduced  viral  RNA  loads  by approximately 104.4 copies/g in the liver and 104.2 copies/g in the  lungs,  while  decreasing  live  virus  titers  by  roughly  103.4 TCID50 /g in the liver. Similarly, in VSV∆G-BDBV GP infected mice, treatment led to reductions of 103.8 copies/g in the liver and  102.8 copies/g  in  the  spleen,  with  corresponding decreases  of  101.6 TCID50 /g  in  liver  tissue  but  no  significant differences were observed in the brain tissue. These results indicate that mAb 515 prevents or significantly restricts  viral  dissemination  in  target  organs,  effectively curbing viral dissemination and disease progression in IFNAR- / - mice.</v>
      </c>
      <c r="K125" s="5" t="str">
        <f t="shared" si="23"/>
        <v>This study used Vero E6 and BSR-T7 cells cultured in DMEM with FBS and antibiotics, and 293F cells in SMM 293-TII medium. A broadly neutralizing antibody, mAb 515, targeting a conserved Ebola virus glycoprotein (GP) epitope, was expressed in 293F cells, purified, and characterized. Recombinant vesicular stomatitis viruses (VSVs) expressing Sudan virus (SUDV) or Bundibugyo virus (BDBV) GP genes were rescued in BSR-T7 cells. Viral growth kinetics were assessed in Vero E6 cells at an MOI of 0.01, with titers quantified using TCID50 assays. Animal studies in IFNAR-/- mice (lacking type I interferon receptors) evaluated viral pathogenicity, antibody efficacy, and systemic infection. LD50 values were determined, and tissues were analyzed for viral load via RT-qPCR and TCID50. Histopathology was performed using H&amp;E and IHC staining, following INHAND guidelines. Statistical analysis used SEM and appropriate tests (t-test, ANOVA).</v>
      </c>
      <c r="N125" s="2" t="str">
        <f t="shared" si="24"/>
        <v>https://doi.org/10.24272/j.issn.2095-8137.2025.606</v>
      </c>
      <c r="O125" s="20">
        <v>423</v>
      </c>
      <c r="P125" s="20" t="s">
        <v>937</v>
      </c>
      <c r="Q125" s="20" t="s">
        <v>938</v>
      </c>
      <c r="R125" s="20" t="s">
        <v>939</v>
      </c>
      <c r="S125" s="20" t="s">
        <v>940</v>
      </c>
      <c r="T125" s="20" t="s">
        <v>266</v>
      </c>
      <c r="U125" s="2"/>
      <c r="V125" s="20" t="s">
        <v>267</v>
      </c>
      <c r="W125" s="2"/>
      <c r="X125" s="20" t="s">
        <v>941</v>
      </c>
      <c r="Y125" s="2"/>
      <c r="Z125" s="20" t="s">
        <v>21</v>
      </c>
      <c r="AA125" s="2"/>
      <c r="AB125" s="2"/>
      <c r="AC125" s="2"/>
      <c r="AD125" s="20" t="s">
        <v>269</v>
      </c>
      <c r="AE125" s="2"/>
      <c r="AF125" s="20" t="s">
        <v>270</v>
      </c>
      <c r="AG125" s="2"/>
      <c r="AH125" s="2"/>
      <c r="AI125" s="20" t="s">
        <v>271</v>
      </c>
      <c r="AJ125" s="2"/>
      <c r="AK125" s="20" t="s">
        <v>272</v>
      </c>
      <c r="AL125" s="2"/>
      <c r="AM125" s="2"/>
      <c r="AN125" s="2"/>
      <c r="AO125" s="2"/>
      <c r="AP125" s="20" t="s">
        <v>942</v>
      </c>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0" t="s">
        <v>59</v>
      </c>
      <c r="BO125" s="2"/>
      <c r="BP125" s="2"/>
      <c r="BQ125" s="2"/>
      <c r="BR125" s="2"/>
      <c r="BS125" s="2"/>
      <c r="BT125" s="2"/>
      <c r="BU125" s="2"/>
      <c r="BV125" s="2"/>
      <c r="BW125" s="2"/>
      <c r="BX125" s="2"/>
      <c r="BY125" s="2"/>
      <c r="BZ125" s="2"/>
      <c r="CA125" s="2"/>
      <c r="CB125" s="2"/>
      <c r="CC125" s="2"/>
      <c r="CD125" s="2"/>
      <c r="CE125" s="2"/>
      <c r="CF125" s="2"/>
      <c r="CG125" s="2"/>
      <c r="CH125" s="20" t="s">
        <v>79</v>
      </c>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0" t="s">
        <v>73</v>
      </c>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0" t="s">
        <v>73</v>
      </c>
      <c r="EW125" s="2"/>
      <c r="EX125" s="2"/>
      <c r="EY125" s="2"/>
      <c r="EZ125" s="2"/>
      <c r="FA125" s="2"/>
      <c r="FB125" s="2"/>
      <c r="FC125" s="2"/>
      <c r="FD125" s="2"/>
      <c r="FE125" s="2"/>
      <c r="FF125" s="2"/>
      <c r="FG125" s="2"/>
      <c r="FH125" s="2"/>
      <c r="FI125" s="2"/>
      <c r="FJ125" s="2"/>
      <c r="FK125" s="2"/>
      <c r="FL125" s="2"/>
      <c r="FM125" s="2"/>
      <c r="FN125" s="2"/>
      <c r="FO125" s="2"/>
      <c r="FP125" s="2"/>
      <c r="FQ125" s="2"/>
      <c r="FR125" s="20" t="s">
        <v>73</v>
      </c>
      <c r="FS125" s="2"/>
      <c r="FT125" s="2"/>
      <c r="FU125" s="2"/>
      <c r="FV125" s="2"/>
      <c r="FW125" s="2"/>
      <c r="FX125" s="2"/>
      <c r="FY125" s="2"/>
      <c r="FZ125" s="20" t="s">
        <v>167</v>
      </c>
      <c r="GA125" s="2"/>
      <c r="GB125" s="2"/>
      <c r="GC125" s="2"/>
      <c r="GD125" s="2"/>
      <c r="GE125" s="2"/>
      <c r="GF125" s="2"/>
      <c r="GG125" s="2"/>
      <c r="GH125" s="2"/>
      <c r="GI125" s="2"/>
      <c r="GJ125" s="2"/>
      <c r="GK125" s="2"/>
      <c r="GL125" s="2"/>
      <c r="GM125" s="2"/>
      <c r="GN125" s="2"/>
      <c r="GO125" s="2"/>
      <c r="GP125" s="20" t="s">
        <v>73</v>
      </c>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0" t="s">
        <v>73</v>
      </c>
      <c r="HS125" s="2"/>
      <c r="HT125" s="2"/>
      <c r="HU125" s="2"/>
      <c r="HV125" s="2"/>
      <c r="HW125" s="2"/>
      <c r="HX125" s="2"/>
      <c r="HY125" s="2"/>
      <c r="HZ125" s="2"/>
      <c r="IA125" s="2"/>
      <c r="IB125" s="20" t="s">
        <v>73</v>
      </c>
      <c r="IC125" s="2"/>
      <c r="ID125" s="2"/>
      <c r="IE125" s="2"/>
      <c r="IF125" s="2"/>
      <c r="IG125" s="2"/>
      <c r="IH125" s="2"/>
      <c r="II125" s="2"/>
      <c r="IJ125" s="20" t="s">
        <v>73</v>
      </c>
      <c r="IK125" s="2"/>
      <c r="IL125" s="2"/>
      <c r="IM125" s="2"/>
      <c r="IN125" s="2"/>
      <c r="IO125" s="2"/>
      <c r="IP125" s="2"/>
      <c r="IQ125" s="2"/>
      <c r="IR125" s="2"/>
      <c r="IS125" s="2"/>
      <c r="IT125" s="20" t="s">
        <v>73</v>
      </c>
      <c r="IU125" s="2"/>
      <c r="IV125" s="2"/>
      <c r="IW125" s="2"/>
      <c r="IX125" s="20" t="s">
        <v>73</v>
      </c>
      <c r="IY125" s="2"/>
      <c r="IZ125" s="2"/>
      <c r="JA125" s="2"/>
      <c r="JB125" s="20" t="s">
        <v>73</v>
      </c>
      <c r="JC125" s="2"/>
      <c r="JD125" s="2"/>
      <c r="JE125" s="2"/>
      <c r="JF125" s="20" t="s">
        <v>73</v>
      </c>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0" t="s">
        <v>73</v>
      </c>
      <c r="KG125" s="2"/>
      <c r="KH125" s="20" t="s">
        <v>943</v>
      </c>
      <c r="KI125" s="2"/>
      <c r="KJ125" s="20" t="s">
        <v>944</v>
      </c>
      <c r="KK125" s="2"/>
    </row>
    <row r="126" spans="1:297" ht="60" customHeight="1" x14ac:dyDescent="0.25">
      <c r="A126" s="5" t="str">
        <f t="shared" si="13"/>
        <v xml:space="preserve">Chamla, et al, (2026) </v>
      </c>
      <c r="B126" s="3" t="str">
        <f t="shared" si="14"/>
        <v>Size of the 2026 Ebola outbreak and risk of cross-border spillover from Bundibugyo virus in Ituri Province, DR Congo, and its implications for preparedness: a recalibrated stochastic modelling study</v>
      </c>
      <c r="C126" s="4" t="str">
        <f t="shared" si="15"/>
        <v>Primary - article, Modeling, Peer-reviewed publication</v>
      </c>
      <c r="D126" s="4" t="str">
        <f t="shared" si="16"/>
        <v>Bundibugyo</v>
      </c>
      <c r="E126" s="4" t="str">
        <f t="shared" si="17"/>
        <v>Yes</v>
      </c>
      <c r="F126" s="4" t="str">
        <f t="shared" si="18"/>
        <v>This study aimed to establish a short-term trajectory of the BDBV outbreak and probability of cross-border spillover into countries with elevated risk of importation to guide preparedness priorities. Aligning with the central scenario (median R₀ = 1.71), the current outbreak is projected to have 990 cumulative confirmed cases and 174 deaths by Week 12, and cross-border spillover risks are highest for Uganda (94.2% importation probability) and South Sudan (69.3%) , requiring urgent preparedness.</v>
      </c>
      <c r="G126" s="4" t="str">
        <f t="shared" si="19"/>
        <v>Size or Duration estimate</v>
      </c>
      <c r="H126" s="4" t="str">
        <f t="shared" si="20"/>
        <v>Human - General population</v>
      </c>
      <c r="I126" s="4" t="str">
        <f t="shared" si="21"/>
        <v/>
      </c>
      <c r="J126" s="5" t="str">
        <f t="shared" si="22"/>
        <v>Epidemiological Parameter - Estimates of outbreak size or duration:
Central transmissibility scenario (mean accepted R0=1·71): The ensemble projected a median of 648 cumulative confirmed cases by week 10 (June 8, 2026; 50% prediction interval [PI] 560–732), rising to 990 cases by week 12 (June 24, 2026: 50% PI 858–1141 and 90% PI 709–1293), with a projected median of 174 deaths at week 12. 
Low transmissibility scenario  (mean accepted R0=1·42): Cumulative confirmed cases are projected to reach a median of 870 by week 12 (50% PI 752–1004 and 90% PI 641–1133; 160 deaths) and 3662 by week 24 (50% PI 2884–4484 and 90% PI 2094–6037) with 673 deaths
High transmissibility scenario (mean accepted R0=2·08): confirmed cases projected to reach a median of 1364 (50% PI 1154–1579 and 90% PI 975–1807; 202 deaths) by week 12, rising to 66 420 (50% PI 56 560–78 937 and 90% PI 41 718–95 881; 10 644 deaths) by week 24. The observed confirmed-case trajectory is consistent with the central scenario. 
The model predicts very high cross-border spillover risk for Uganda (94.2% importation probability, 19 confirmed cases as of June 4) and elevated risk for South Sudan (69.3%, driven by porous borders and sustained transmission in DR Congo), while Rwanda and Burundi face low risk (8.6% and 2.0%, respectively). Uganda’s outbreak is already established with local transmission, and South Sudan’s risk remains substantial despite DR Congo’s trajectory aligning with lower scenarios.</v>
      </c>
      <c r="K126" s="5" t="str">
        <f t="shared" si="23"/>
        <v>The study used a stochastic SEIRD model (susceptible, exposed, infectious, recovered, dead) calibrated to laboratory-confirmed Bundibugyo virus cases in DR Congo (598 cases as of June 8, 2026) to project outbreak trajectories under low, central, and high transmissibility scenarios. A linked daily-hazard spillover model estimated cross-border importation risks for Uganda, South Sudan, Rwanda, and Burundi over 12 weeks, incorporating mobility, detection sensitivity, and travel-while-infectious parameters. Sensitivity analyses tested assumptions for travel, reporting completeness, and catchment size.
Case data were taken from the WHO AFRO External Situation Reports and the WHO AFRO internal tracker through to June 8, 2026. The laboratory-confirmed case series was used as the primary calibration metric: confirmed cases rose from 33 on May 18, 2026, to 105 on May 24, 2026, and 598 on June 8, 2026.15 Laboratory-confirmed cases were preferred over suspected cases because they are specific to BDBV and not subject to the over-ascertainment affecting suspected counts.</v>
      </c>
      <c r="N126" s="2" t="str">
        <f t="shared" si="24"/>
        <v>https://doi.org/10.1016/s1473-3099(26)00320-8</v>
      </c>
      <c r="O126" s="20">
        <v>440</v>
      </c>
      <c r="P126" s="20" t="s">
        <v>1386</v>
      </c>
      <c r="Q126" s="20" t="s">
        <v>945</v>
      </c>
      <c r="R126" s="20" t="s">
        <v>946</v>
      </c>
      <c r="S126" s="20" t="s">
        <v>947</v>
      </c>
      <c r="T126" s="20" t="s">
        <v>266</v>
      </c>
      <c r="U126" s="2"/>
      <c r="V126" s="20" t="s">
        <v>267</v>
      </c>
      <c r="W126" s="2"/>
      <c r="X126" s="20" t="s">
        <v>948</v>
      </c>
      <c r="Y126" s="2"/>
      <c r="Z126" s="20" t="s">
        <v>21</v>
      </c>
      <c r="AA126" s="2"/>
      <c r="AB126" s="2"/>
      <c r="AC126" s="2"/>
      <c r="AD126" s="20" t="s">
        <v>352</v>
      </c>
      <c r="AE126" s="2"/>
      <c r="AF126" s="20" t="s">
        <v>270</v>
      </c>
      <c r="AG126" s="2"/>
      <c r="AH126" s="2"/>
      <c r="AI126" s="20" t="s">
        <v>271</v>
      </c>
      <c r="AJ126" s="2"/>
      <c r="AK126" s="20" t="s">
        <v>272</v>
      </c>
      <c r="AL126" s="2"/>
      <c r="AM126" s="2"/>
      <c r="AN126" s="2"/>
      <c r="AO126" s="2"/>
      <c r="AP126" s="20" t="s">
        <v>949</v>
      </c>
      <c r="AQ126" s="2"/>
      <c r="AR126" s="20" t="s">
        <v>37</v>
      </c>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0" t="s">
        <v>83</v>
      </c>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0" t="s">
        <v>73</v>
      </c>
      <c r="DW126" s="2"/>
      <c r="DX126" s="2"/>
      <c r="DY126" s="2"/>
      <c r="DZ126" s="2"/>
      <c r="EA126" s="2"/>
      <c r="EB126" s="2"/>
      <c r="EC126" s="2"/>
      <c r="ED126" s="2"/>
      <c r="EE126" s="2"/>
      <c r="EF126" s="2"/>
      <c r="EG126" s="2"/>
      <c r="EH126" s="2"/>
      <c r="EI126" s="2"/>
      <c r="EJ126" s="2"/>
      <c r="EK126" s="2"/>
      <c r="EL126" s="2"/>
      <c r="EM126" s="2"/>
      <c r="EN126" s="2"/>
      <c r="EO126" s="2"/>
      <c r="EP126" s="20" t="s">
        <v>135</v>
      </c>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0" t="s">
        <v>73</v>
      </c>
      <c r="FS126" s="2"/>
      <c r="FT126" s="2"/>
      <c r="FU126" s="2"/>
      <c r="FV126" s="2"/>
      <c r="FW126" s="2"/>
      <c r="FX126" s="2"/>
      <c r="FY126" s="2"/>
      <c r="FZ126" s="2"/>
      <c r="GA126" s="2"/>
      <c r="GB126" s="2"/>
      <c r="GC126" s="2"/>
      <c r="GD126" s="2"/>
      <c r="GE126" s="2"/>
      <c r="GF126" s="20" t="s">
        <v>73</v>
      </c>
      <c r="GG126" s="2"/>
      <c r="GH126" s="2"/>
      <c r="GI126" s="2"/>
      <c r="GJ126" s="2"/>
      <c r="GK126" s="2"/>
      <c r="GL126" s="2"/>
      <c r="GM126" s="2"/>
      <c r="GN126" s="2"/>
      <c r="GO126" s="2"/>
      <c r="GP126" s="20" t="s">
        <v>73</v>
      </c>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0" t="s">
        <v>73</v>
      </c>
      <c r="HS126" s="2"/>
      <c r="HT126" s="2"/>
      <c r="HU126" s="2"/>
      <c r="HV126" s="2"/>
      <c r="HW126" s="2"/>
      <c r="HX126" s="2"/>
      <c r="HY126" s="2"/>
      <c r="HZ126" s="2"/>
      <c r="IA126" s="2"/>
      <c r="IB126" s="20" t="s">
        <v>73</v>
      </c>
      <c r="IC126" s="2"/>
      <c r="ID126" s="2"/>
      <c r="IE126" s="2"/>
      <c r="IF126" s="2"/>
      <c r="IG126" s="2"/>
      <c r="IH126" s="2"/>
      <c r="II126" s="2"/>
      <c r="IJ126" s="20" t="s">
        <v>73</v>
      </c>
      <c r="IK126" s="2"/>
      <c r="IL126" s="2"/>
      <c r="IM126" s="2"/>
      <c r="IN126" s="2"/>
      <c r="IO126" s="2"/>
      <c r="IP126" s="2"/>
      <c r="IQ126" s="2"/>
      <c r="IR126" s="2"/>
      <c r="IS126" s="2"/>
      <c r="IT126" s="20" t="s">
        <v>73</v>
      </c>
      <c r="IU126" s="2"/>
      <c r="IV126" s="2"/>
      <c r="IW126" s="2"/>
      <c r="IX126" s="20" t="s">
        <v>73</v>
      </c>
      <c r="IY126" s="2"/>
      <c r="IZ126" s="2"/>
      <c r="JA126" s="2"/>
      <c r="JB126" s="20" t="s">
        <v>73</v>
      </c>
      <c r="JC126" s="2"/>
      <c r="JD126" s="2"/>
      <c r="JE126" s="2"/>
      <c r="JF126" s="20" t="s">
        <v>73</v>
      </c>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0" t="s">
        <v>73</v>
      </c>
      <c r="KG126" s="2"/>
      <c r="KH126" s="20" t="s">
        <v>950</v>
      </c>
      <c r="KI126" s="2"/>
      <c r="KJ126" s="20" t="s">
        <v>951</v>
      </c>
      <c r="KK126" s="2"/>
    </row>
    <row r="127" spans="1:297" ht="60" customHeight="1" x14ac:dyDescent="0.25">
      <c r="A127" s="5" t="str">
        <f t="shared" si="13"/>
        <v xml:space="preserve">Gashema, et al, (2026) </v>
      </c>
      <c r="B127" s="3" t="str">
        <f t="shared" si="14"/>
        <v>Can stochastic modelling predict cross-border spread of the Bundibugyo Ebola virus outbreak in Africa?</v>
      </c>
      <c r="C127" s="4" t="str">
        <f t="shared" si="15"/>
        <v>Commentary, Peer-reviewed publication</v>
      </c>
      <c r="D127" s="4" t="str">
        <f t="shared" si="16"/>
        <v>Bundibugyo</v>
      </c>
      <c r="E127" s="4" t="str">
        <f t="shared" si="17"/>
        <v>Yes</v>
      </c>
      <c r="F127" s="4" t="str">
        <f t="shared" si="18"/>
        <v/>
      </c>
      <c r="G127" s="4" t="str">
        <f t="shared" si="19"/>
        <v/>
      </c>
      <c r="H127" s="4" t="str">
        <f t="shared" si="20"/>
        <v/>
      </c>
      <c r="I127" s="4" t="str">
        <f t="shared" si="21"/>
        <v/>
      </c>
      <c r="J127" s="5" t="str">
        <f t="shared" si="22"/>
        <v/>
      </c>
      <c r="K127" s="5" t="str">
        <f t="shared" si="23"/>
        <v/>
      </c>
      <c r="N127" s="2" t="str">
        <f t="shared" si="24"/>
        <v>https://doi.org/10.1016/s1473-3099(26)00352-x</v>
      </c>
      <c r="O127" s="20">
        <v>441</v>
      </c>
      <c r="P127" s="20" t="s">
        <v>1387</v>
      </c>
      <c r="Q127" s="20" t="s">
        <v>952</v>
      </c>
      <c r="R127" s="20" t="s">
        <v>953</v>
      </c>
      <c r="S127" s="20" t="s">
        <v>954</v>
      </c>
      <c r="T127" s="20" t="s">
        <v>266</v>
      </c>
      <c r="U127" s="2"/>
      <c r="V127" s="20">
        <v>2</v>
      </c>
      <c r="W127" s="2"/>
      <c r="X127" s="20" t="s">
        <v>955</v>
      </c>
      <c r="Y127" s="2"/>
      <c r="Z127" s="20" t="s">
        <v>21</v>
      </c>
      <c r="AA127" s="2"/>
      <c r="AB127" s="2"/>
      <c r="AC127" s="2"/>
      <c r="AD127" s="20" t="s">
        <v>352</v>
      </c>
      <c r="AE127" s="2"/>
      <c r="AF127" s="20" t="s">
        <v>270</v>
      </c>
      <c r="AG127" s="2"/>
      <c r="AH127" s="2"/>
      <c r="AI127" s="20" t="s">
        <v>271</v>
      </c>
      <c r="AJ127" s="2"/>
      <c r="AK127" s="20" t="s">
        <v>425</v>
      </c>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row>
    <row r="128" spans="1:297" ht="60" customHeight="1" x14ac:dyDescent="0.25">
      <c r="A128" s="5" t="str">
        <f t="shared" si="13"/>
        <v xml:space="preserve">Walekhwa, et al, (2026) </v>
      </c>
      <c r="B128" s="3" t="str">
        <f t="shared" si="14"/>
        <v>Network-based modelling of Bundibugyo Ebola virus disease importation and spread in Uganda using Displacement Tracking Matrix flow data and non-pharmaceutical intervention compliance scenarios</v>
      </c>
      <c r="C128" s="4" t="str">
        <f t="shared" si="15"/>
        <v>Primary - article, Modeling, Preprint</v>
      </c>
      <c r="D128" s="4" t="str">
        <f t="shared" si="16"/>
        <v>Bundibugyo</v>
      </c>
      <c r="E128" s="4" t="str">
        <f t="shared" si="17"/>
        <v>Yes</v>
      </c>
      <c r="F128" s="4" t="str">
        <f t="shared" si="18"/>
        <v>This study assesses whether costly nationwide non-pharmaceutical interventions (NPIs) are needed when the 7-1-7 agile response (detection within 3 days, notification within 1 day, response within 5 days) already includes a strong behavioural component. Mobility data from the Displacement Tracking Matrix (DTM) showed Kisoro had the highest import (in-strength 3,823) and export (out-strength 1,350) risk, while Kampala had substantial import risk (in-strength 1,290) but lower export risk (out-strength 150); under baseline mobility, the model projected a median of 69 to 70 cumulative cases (95% CrI: 57 to 98) and 3 deaths over 90 days, with NPIs (community contact reduction, healthcare protection, movement restriction) at 20%, 40%, and 60% compliance showing no statistically significant case reduction.</v>
      </c>
      <c r="G128" s="4" t="str">
        <f t="shared" si="19"/>
        <v>Size or Duration estimate; Mortality</v>
      </c>
      <c r="H128" s="4" t="str">
        <f t="shared" si="20"/>
        <v>Human - General population</v>
      </c>
      <c r="I128" s="4" t="str">
        <f t="shared" si="21"/>
        <v/>
      </c>
      <c r="J128" s="5" t="str">
        <f t="shared" si="22"/>
        <v>Epidemiological Parameter - ESTIMATES OF OUTBREAK SIZE AND DURATION: 
Under baseline mobility, the model projected a median of 69–70 cumulative cases (95% CrI: 57–98) , 11 367 HCW infections, over 90 days. Non-pharmaceutical interventions (community contact reduction, healthcare protection, movement restriction) at 20%, 40%, and 60% compliance produced no statistically significant reduction in cases. Superspreading events occurred in 34.6–40.6% of simulations. Kampala bore the highest predicted burden (median 22 cases, 100% outbreak probability more than 10 cases), followed by Wakiso (11 cases, 64.9%). Border districts had lower burdens (Bundibugyo 5, Kasese 3, Kisoro 2).
Sobol sensitivity analysis (500 samples, 200 bootstraps) identified the infectious period (first-order index 0.838), case fatality rate (0.738), and basic reproduction number (0.664) as the most influential parameters; mobility-related parameters had lower total-order indices.
MORTALITY:
Under baseline mobility, the model projected 3 deaths and 1 HCW deaths, over 90 days.</v>
      </c>
      <c r="K128" s="5" t="str">
        <f t="shared" si="23"/>
        <v>The authors constructed a data-driven directed weighted mobility network using the International Organization for Migration Displacement Tracking Matrix (DTM) flows collected from 15–24 May 2026 (11,245 observed movements) and the 2024 Uganda census (45.9 million people). A stochastic metapopulation SEIR model, incorporating pre-symptomatic transmission and the movement of both exposed and infectious individuals, was simulated over 90 days across 135 Ugandan districts and two DRC provinces. Authors simulated three compliance levels (20%, 40%, 60%) for NPIs (risk communication, standard operating procedures, avoidance of handshaking, mass gathering bans) and assessed their impact on total cases, deaths, and healthcare worker (HCW) infections. A global sensitivity analysis using the Sobol method was used to identify which parameters most influence the total case count, thereby informing decision-makers on where to focus data collection and intervention efforts.
The median total cases ranged from 69 to 70 across compliance scenarios, with 3 deaths, 11 healthcare worker (HCW) infections, and 1 HCW death. The 95% credible intervals overlapped substantially (58–98 cases for 20% compliance, 57–95 for 60% compliance), indicating no statistically significant difference between compliance levels. The extinction probability was 0% across all scenarios, reflecting that the outbreak was already established at the start of the simulation (16 observed cases as of June 5, 2026). The probability of a large outbreak (≥50 cases) was 100% in all scenarios, consistent with the projected median of approximately 70 cases. Superspreading events (≥5 secondary infections from a single source in one day) occurred in 40.6% of simulations at 20% compliance, decreasing to 34.8% at 40% compliance and 34.6% at 60% compliance. The mean number of superspreading events per simulation ranged from 0.396 to 0.472, with a maximum of 3 in any single simulation.</v>
      </c>
      <c r="N128" s="2" t="str">
        <f t="shared" si="24"/>
        <v>https://doi.org/10.64898/2026.06.22.26356210</v>
      </c>
      <c r="O128" s="20">
        <v>443</v>
      </c>
      <c r="P128" s="20" t="s">
        <v>1385</v>
      </c>
      <c r="Q128" s="20" t="s">
        <v>956</v>
      </c>
      <c r="R128" s="20" t="s">
        <v>957</v>
      </c>
      <c r="S128" s="20" t="s">
        <v>958</v>
      </c>
      <c r="T128" s="20" t="s">
        <v>266</v>
      </c>
      <c r="U128" s="2"/>
      <c r="V128" s="20" t="s">
        <v>267</v>
      </c>
      <c r="W128" s="2"/>
      <c r="X128" s="20" t="s">
        <v>959</v>
      </c>
      <c r="Y128" s="2"/>
      <c r="Z128" s="20" t="s">
        <v>21</v>
      </c>
      <c r="AA128" s="2"/>
      <c r="AB128" s="2"/>
      <c r="AC128" s="2"/>
      <c r="AD128" s="20" t="s">
        <v>352</v>
      </c>
      <c r="AE128" s="2"/>
      <c r="AF128" s="20" t="s">
        <v>270</v>
      </c>
      <c r="AG128" s="2"/>
      <c r="AH128" s="2"/>
      <c r="AI128" s="20" t="s">
        <v>353</v>
      </c>
      <c r="AJ128" s="2"/>
      <c r="AK128" s="20" t="s">
        <v>272</v>
      </c>
      <c r="AL128" s="2"/>
      <c r="AM128" s="2"/>
      <c r="AN128" s="2"/>
      <c r="AO128" s="2"/>
      <c r="AP128" s="20" t="s">
        <v>960</v>
      </c>
      <c r="AQ128" s="2"/>
      <c r="AR128" s="20" t="s">
        <v>37</v>
      </c>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0" t="s">
        <v>83</v>
      </c>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0" t="s">
        <v>73</v>
      </c>
      <c r="DW128" s="2"/>
      <c r="DX128" s="2"/>
      <c r="DY128" s="2"/>
      <c r="DZ128" s="2"/>
      <c r="EA128" s="2"/>
      <c r="EB128" s="2"/>
      <c r="EC128" s="2"/>
      <c r="ED128" s="2"/>
      <c r="EE128" s="2"/>
      <c r="EF128" s="2"/>
      <c r="EG128" s="2"/>
      <c r="EH128" s="2"/>
      <c r="EI128" s="2"/>
      <c r="EJ128" s="2"/>
      <c r="EK128" s="2"/>
      <c r="EL128" s="2"/>
      <c r="EM128" s="2"/>
      <c r="EN128" s="2"/>
      <c r="EO128" s="2"/>
      <c r="EP128" s="20" t="s">
        <v>135</v>
      </c>
      <c r="EQ128" s="2"/>
      <c r="ER128" s="2"/>
      <c r="ES128" s="2"/>
      <c r="ET128" s="2"/>
      <c r="EU128" s="2"/>
      <c r="EV128" s="2"/>
      <c r="EW128" s="2"/>
      <c r="EX128" s="2"/>
      <c r="EY128" s="2"/>
      <c r="EZ128" s="2"/>
      <c r="FA128" s="2"/>
      <c r="FB128" s="2"/>
      <c r="FC128" s="2"/>
      <c r="FD128" s="2"/>
      <c r="FE128" s="2"/>
      <c r="FF128" s="20" t="s">
        <v>149</v>
      </c>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0" t="s">
        <v>73</v>
      </c>
      <c r="GG128" s="2"/>
      <c r="GH128" s="2"/>
      <c r="GI128" s="2"/>
      <c r="GJ128" s="2"/>
      <c r="GK128" s="2"/>
      <c r="GL128" s="2"/>
      <c r="GM128" s="2"/>
      <c r="GN128" s="2"/>
      <c r="GO128" s="2"/>
      <c r="GP128" s="20" t="s">
        <v>73</v>
      </c>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0" t="s">
        <v>73</v>
      </c>
      <c r="HS128" s="2"/>
      <c r="HT128" s="2"/>
      <c r="HU128" s="2"/>
      <c r="HV128" s="2"/>
      <c r="HW128" s="2"/>
      <c r="HX128" s="2"/>
      <c r="HY128" s="2"/>
      <c r="HZ128" s="2"/>
      <c r="IA128" s="2"/>
      <c r="IB128" s="20" t="s">
        <v>73</v>
      </c>
      <c r="IC128" s="2"/>
      <c r="ID128" s="2"/>
      <c r="IE128" s="2"/>
      <c r="IF128" s="2"/>
      <c r="IG128" s="2"/>
      <c r="IH128" s="2"/>
      <c r="II128" s="2"/>
      <c r="IJ128" s="20" t="s">
        <v>73</v>
      </c>
      <c r="IK128" s="2"/>
      <c r="IL128" s="2"/>
      <c r="IM128" s="2"/>
      <c r="IN128" s="2"/>
      <c r="IO128" s="2"/>
      <c r="IP128" s="2"/>
      <c r="IQ128" s="2"/>
      <c r="IR128" s="2"/>
      <c r="IS128" s="2"/>
      <c r="IT128" s="20" t="s">
        <v>73</v>
      </c>
      <c r="IU128" s="2"/>
      <c r="IV128" s="2"/>
      <c r="IW128" s="2"/>
      <c r="IX128" s="20" t="s">
        <v>73</v>
      </c>
      <c r="IY128" s="2"/>
      <c r="IZ128" s="2"/>
      <c r="JA128" s="2"/>
      <c r="JB128" s="20" t="s">
        <v>73</v>
      </c>
      <c r="JC128" s="2"/>
      <c r="JD128" s="2"/>
      <c r="JE128" s="2"/>
      <c r="JF128" s="20" t="s">
        <v>73</v>
      </c>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0" t="s">
        <v>73</v>
      </c>
      <c r="KG128" s="2"/>
      <c r="KH128" s="20" t="s">
        <v>961</v>
      </c>
      <c r="KI128" s="2"/>
      <c r="KJ128" s="20" t="s">
        <v>962</v>
      </c>
      <c r="KK128" s="2"/>
    </row>
    <row r="129" spans="1:297" ht="60" customHeight="1" x14ac:dyDescent="0.25">
      <c r="A129" s="5" t="str">
        <f t="shared" si="13"/>
        <v xml:space="preserve">Halbrook, et al, (2026) </v>
      </c>
      <c r="B129" s="3" t="str">
        <f t="shared" si="14"/>
        <v>Longitudinal Bundibugyo Virus Glycoprotein Seroreactivity Following rVSVΔG-ZEBOV-GP Vaccination in Outbreak-Affected Populations of the Democratic Republic of the Congo</v>
      </c>
      <c r="C129" s="4" t="str">
        <f t="shared" si="15"/>
        <v>Primary - article, Observational, Preprint</v>
      </c>
      <c r="D129" s="4" t="str">
        <f t="shared" si="16"/>
        <v>Bundibugyo</v>
      </c>
      <c r="E129" s="4" t="str">
        <f t="shared" si="17"/>
        <v>Yes</v>
      </c>
      <c r="F129" s="4" t="str">
        <f t="shared" si="18"/>
        <v>This study collected serum samples between 2018-2023 from vaccine recipients in Mbandaka, Equateur Province and Beni, North Kivu Province and evaluated development of antibodies to Bundibugyo glycoprotein (GP) following rVSVΔGZEBOV-GP vaccination in two EVD outbreak-affected populations. They found that baseline Bundibugyo virus disease (BDBV) GP seroreactivity differed between sites, with 3.3% of participants reactive in Mbandaka and 10.4% in Beni.  In Mbandaka, BDBV GP titers remained unchanged through 6 months post-vaccination but increased markedly between 2.5 and 3.5 years, accompanied by a rise in seroreactivity to 35.3%, followed by waning at later visits. In Beni, BDBV GP titers increased rapidly after vaccination, reaching peak seroreactivity at 21 days (52.3%) and 6 months (53.9%), with mean fold increases of 21.9 and 20.1 among baseline naïve participants.</v>
      </c>
      <c r="G129" s="4" t="str">
        <f t="shared" si="19"/>
        <v>Seroprevalence</v>
      </c>
      <c r="H129" s="4" t="str">
        <f t="shared" si="20"/>
        <v>Human - General population, Humans - children</v>
      </c>
      <c r="I129" s="4" t="str">
        <f t="shared" si="21"/>
        <v/>
      </c>
      <c r="J129" s="5" t="str">
        <f t="shared" si="22"/>
        <v>Epidemiological Parameter - SEROPREVALENCE: 
Mbandaka cohort: At baseline, 3.3% (n=16) of participants were observed to be seroreactive to BDBV GP and 28.8% (n=139) of participants were reactive to EBOV GP. No change was observed in anti-BDBV GP antibody MFI values at 21 days or 6 months postvaccination. However, there was a rise in mean BDBV GP reactivity from 1238 to 4845 MFI (p&lt;.0001) between the year 2.5 and year 3.5 visits. Additionally, at the 3.5 year visit, 35.3% (n=116) of participants were seroreactive based on the cut-off criteria. 
Beni cohort: At baseline. reactivity was observed to be 10.4% (n=62) to BDBV GP and 3.8% (n=23) to EBOV GP. There was an immediate rise in anti-BDBV GP antibody MFI values at 21 days and 6 months after vaccination with rVSV∆G-ZEBOV-GP from a mean of 1653 MFI to 6678 (p&lt;.0001). At 21 days and 6 months post-vaccination the authors observed 52.3% (n=283) and 53.9% (n=270) seroreactivity to BDBV GP, respectively. Among those seronegative to BDBV GP at baseline and seroreactive at 21 days (n=241, 40.2%) and 6 months (n= 227, 37.9%), authors recorded a mean fold change of 21.9 and 20.1 compared to baseline, respectively. Mean antibody MFI values decreased for all antigens during the 6 month to 2.5 year postvaccination period, with only those for EBOV and BDBV GP remaining above the mean MFI values at baseline.</v>
      </c>
      <c r="K129" s="5" t="str">
        <f t="shared" si="23"/>
        <v>Between 2018 and 2023, serum samples were collected from vaccine recipients in Mbandaka, Equateur Province (n=482 at baseline), and Beni, North Kivu Province (n=599 at baseline). Antibody reactivity was assessed using a multiplex pan-filovirus immunoassay. We evaluated longitudinal trends in BDBV GP seroreactivity across follow-up visits extending to approximately five years after vaccination.  
Recruitment and enrollment of this study coincided with the rVSV∆G-ZEBOV-GP vaccination efforts undertaken in response to the DRC’s 9th and 10th EVD outbreaks. Beginning June 2018 in Mbandaka, Equateur, and in August, 2018 in Beni, North Kivu, individuals ≥1 year of age who received the rVSV∆G-ZEBOV-GP vaccine under the World Health Organization (WHO) ring vaccination protocol were eligible for enrollment</v>
      </c>
      <c r="N129" s="2" t="str">
        <f t="shared" si="24"/>
        <v>https://doi.org/10.64898/2026.06.22.26356273</v>
      </c>
      <c r="O129" s="20">
        <v>444</v>
      </c>
      <c r="P129" s="20" t="s">
        <v>1388</v>
      </c>
      <c r="Q129" s="20" t="s">
        <v>963</v>
      </c>
      <c r="R129" s="20" t="s">
        <v>964</v>
      </c>
      <c r="S129" s="20" t="s">
        <v>965</v>
      </c>
      <c r="T129" s="20" t="s">
        <v>266</v>
      </c>
      <c r="U129" s="2"/>
      <c r="V129" s="20" t="s">
        <v>267</v>
      </c>
      <c r="W129" s="2"/>
      <c r="X129" s="20" t="s">
        <v>966</v>
      </c>
      <c r="Y129" s="2"/>
      <c r="Z129" s="20" t="s">
        <v>21</v>
      </c>
      <c r="AA129" s="2"/>
      <c r="AB129" s="2"/>
      <c r="AC129" s="2"/>
      <c r="AD129" s="20" t="s">
        <v>352</v>
      </c>
      <c r="AE129" s="2"/>
      <c r="AF129" s="20" t="s">
        <v>270</v>
      </c>
      <c r="AG129" s="2"/>
      <c r="AH129" s="2"/>
      <c r="AI129" s="20" t="s">
        <v>353</v>
      </c>
      <c r="AJ129" s="2"/>
      <c r="AK129" s="20" t="s">
        <v>272</v>
      </c>
      <c r="AL129" s="2"/>
      <c r="AM129" s="2"/>
      <c r="AN129" s="2"/>
      <c r="AO129" s="2"/>
      <c r="AP129" s="20" t="s">
        <v>967</v>
      </c>
      <c r="AQ129" s="2"/>
      <c r="AR129" s="20" t="s">
        <v>37</v>
      </c>
      <c r="AS129" s="2"/>
      <c r="AT129" s="2"/>
      <c r="AU129" s="2"/>
      <c r="AV129" s="20" t="s">
        <v>41</v>
      </c>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0" t="s">
        <v>75</v>
      </c>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0" t="s">
        <v>73</v>
      </c>
      <c r="DW129" s="2"/>
      <c r="DX129" s="2"/>
      <c r="DY129" s="2"/>
      <c r="DZ129" s="20" t="s">
        <v>119</v>
      </c>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0" t="s">
        <v>73</v>
      </c>
      <c r="FS129" s="2"/>
      <c r="FT129" s="2"/>
      <c r="FU129" s="2"/>
      <c r="FV129" s="2"/>
      <c r="FW129" s="2"/>
      <c r="FX129" s="2"/>
      <c r="FY129" s="2"/>
      <c r="FZ129" s="2"/>
      <c r="GA129" s="2"/>
      <c r="GB129" s="2"/>
      <c r="GC129" s="2"/>
      <c r="GD129" s="2"/>
      <c r="GE129" s="2"/>
      <c r="GF129" s="20" t="s">
        <v>73</v>
      </c>
      <c r="GG129" s="2"/>
      <c r="GH129" s="2"/>
      <c r="GI129" s="2"/>
      <c r="GJ129" s="2"/>
      <c r="GK129" s="2"/>
      <c r="GL129" s="2"/>
      <c r="GM129" s="2"/>
      <c r="GN129" s="2"/>
      <c r="GO129" s="2"/>
      <c r="GP129" s="20" t="s">
        <v>73</v>
      </c>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0" t="s">
        <v>73</v>
      </c>
      <c r="HS129" s="2"/>
      <c r="HT129" s="2"/>
      <c r="HU129" s="2"/>
      <c r="HV129" s="2"/>
      <c r="HW129" s="2"/>
      <c r="HX129" s="2"/>
      <c r="HY129" s="2"/>
      <c r="HZ129" s="2"/>
      <c r="IA129" s="2"/>
      <c r="IB129" s="20" t="s">
        <v>73</v>
      </c>
      <c r="IC129" s="2"/>
      <c r="ID129" s="2"/>
      <c r="IE129" s="2"/>
      <c r="IF129" s="2"/>
      <c r="IG129" s="2"/>
      <c r="IH129" s="2"/>
      <c r="II129" s="2"/>
      <c r="IJ129" s="20" t="s">
        <v>73</v>
      </c>
      <c r="IK129" s="2"/>
      <c r="IL129" s="2"/>
      <c r="IM129" s="2"/>
      <c r="IN129" s="2"/>
      <c r="IO129" s="2"/>
      <c r="IP129" s="2"/>
      <c r="IQ129" s="2"/>
      <c r="IR129" s="2"/>
      <c r="IS129" s="2"/>
      <c r="IT129" s="20" t="s">
        <v>73</v>
      </c>
      <c r="IU129" s="2"/>
      <c r="IV129" s="2"/>
      <c r="IW129" s="2"/>
      <c r="IX129" s="20" t="s">
        <v>73</v>
      </c>
      <c r="IY129" s="2"/>
      <c r="IZ129" s="2"/>
      <c r="JA129" s="2"/>
      <c r="JB129" s="20" t="s">
        <v>73</v>
      </c>
      <c r="JC129" s="2"/>
      <c r="JD129" s="2"/>
      <c r="JE129" s="2"/>
      <c r="JF129" s="20" t="s">
        <v>73</v>
      </c>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0" t="s">
        <v>73</v>
      </c>
      <c r="KG129" s="2"/>
      <c r="KH129" s="20" t="s">
        <v>968</v>
      </c>
      <c r="KI129" s="2"/>
      <c r="KJ129" s="20" t="s">
        <v>969</v>
      </c>
      <c r="KK129" s="2"/>
    </row>
    <row r="130" spans="1:297" ht="60" customHeight="1" x14ac:dyDescent="0.25">
      <c r="A130" s="5" t="str">
        <f t="shared" si="13"/>
        <v>Diago-Navarro, et al, (2026), The Lancet regional health.Europe</v>
      </c>
      <c r="B130" s="3" t="str">
        <f t="shared" si="14"/>
        <v>From Ebola to Hantavirus: Spain's Preparedness for High-Consequence Infectious Diseases</v>
      </c>
      <c r="C130" s="4" t="str">
        <f t="shared" si="15"/>
        <v>Commentary, Peer-reviewed publication</v>
      </c>
      <c r="D130" s="4" t="str">
        <f t="shared" si="16"/>
        <v>Bundibugyo</v>
      </c>
      <c r="E130" s="4" t="str">
        <f t="shared" si="17"/>
        <v>Yes</v>
      </c>
      <c r="F130" s="4" t="str">
        <f t="shared" si="18"/>
        <v/>
      </c>
      <c r="G130" s="4" t="str">
        <f t="shared" si="19"/>
        <v/>
      </c>
      <c r="H130" s="4" t="str">
        <f t="shared" si="20"/>
        <v/>
      </c>
      <c r="I130" s="4" t="str">
        <f t="shared" si="21"/>
        <v/>
      </c>
      <c r="J130" s="5" t="str">
        <f t="shared" si="22"/>
        <v/>
      </c>
      <c r="K130" s="5" t="str">
        <f t="shared" si="23"/>
        <v/>
      </c>
      <c r="N130" s="2" t="str">
        <f t="shared" si="24"/>
        <v>https://doi.org/10.1016/j.lanepe.2026.101749</v>
      </c>
      <c r="O130" s="20">
        <v>454</v>
      </c>
      <c r="P130" s="20" t="s">
        <v>970</v>
      </c>
      <c r="Q130" s="20" t="s">
        <v>971</v>
      </c>
      <c r="R130" s="20" t="s">
        <v>972</v>
      </c>
      <c r="S130" s="20" t="s">
        <v>973</v>
      </c>
      <c r="T130" s="20" t="s">
        <v>266</v>
      </c>
      <c r="U130" s="2"/>
      <c r="V130" s="20">
        <v>2</v>
      </c>
      <c r="W130" s="2"/>
      <c r="X130" s="20" t="s">
        <v>974</v>
      </c>
      <c r="Y130" s="2"/>
      <c r="Z130" s="20" t="s">
        <v>21</v>
      </c>
      <c r="AA130" s="2"/>
      <c r="AB130" s="2"/>
      <c r="AC130" s="2"/>
      <c r="AD130" s="20" t="s">
        <v>352</v>
      </c>
      <c r="AE130" s="2"/>
      <c r="AF130" s="20" t="s">
        <v>270</v>
      </c>
      <c r="AG130" s="2"/>
      <c r="AH130" s="2"/>
      <c r="AI130" s="20" t="s">
        <v>271</v>
      </c>
      <c r="AJ130" s="2"/>
      <c r="AK130" s="20" t="s">
        <v>425</v>
      </c>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row>
    <row r="131" spans="1:297" ht="60" customHeight="1" x14ac:dyDescent="0.25">
      <c r="A131" s="5" t="str">
        <f t="shared" ref="A131:A164" si="25">P131</f>
        <v>Rizzo, et al, (2026), New microbes and new infections</v>
      </c>
      <c r="B131" s="3" t="str">
        <f t="shared" ref="B131:B164" si="26">HYPERLINK(N131, Q131)</f>
        <v>Diagnostic pathways in returning travellers: integrating Ebola outbreak screening into comprehensive workup</v>
      </c>
      <c r="C131" s="4" t="str">
        <f t="shared" ref="C131:C164" si="27">_xlfn.TEXTJOIN(", ", TRUE, AK131,CD131:CX131,AI131, AG131)</f>
        <v>Commentary, Peer-reviewed publication</v>
      </c>
      <c r="D131" s="4" t="str">
        <f t="shared" ref="D131:D164" si="28">_xlfn.TEXTJOIN(", ", TRUE, Z131, AB131)</f>
        <v>Bundibugyo</v>
      </c>
      <c r="E131" s="4" t="str">
        <f t="shared" ref="E131:E164" si="29">AD131</f>
        <v>Yes</v>
      </c>
      <c r="F131" s="4" t="str">
        <f t="shared" ref="F131:F164" si="30">_xlfn.TEXTJOIN("", TRUE, AM131,AP131)</f>
        <v/>
      </c>
      <c r="G131" s="4" t="str">
        <f t="shared" ref="G131:G164" si="31">_xlfn.TEXTJOIN("; ", TRUE, DX131:EU131,EX131:FQ131, FT131:GE131, GH131:GO131, GR131:HP131, HT131:HZ131, ID131:IH131, IL131:IR131, IV131, IZ131, JD131, JH131:KD131)</f>
        <v/>
      </c>
      <c r="H131" s="4" t="str">
        <f t="shared" ref="H131:H164" si="32">_xlfn.TEXTJOIN(", ", TRUE,AR131:BZ131)</f>
        <v/>
      </c>
      <c r="I131" s="4" t="str">
        <f t="shared" ref="I131:I164" si="33">_xlfn.TEXTJOIN(", ", TRUE,DB131:DU131)</f>
        <v/>
      </c>
      <c r="J131" s="5" t="str">
        <f t="shared" ref="J131:J164" si="34">_xlfn.TEXTJOIN(", ", TRUE, KH131)</f>
        <v/>
      </c>
      <c r="K131" s="5" t="str">
        <f t="shared" ref="K131:K164" si="35">_xlfn.TEXTJOIN(", ", TRUE, KJ131)</f>
        <v/>
      </c>
      <c r="N131" s="2" t="str">
        <f t="shared" ref="N131:N164" si="36">IF(ISBLANK(R131),X131,_xlfn.CONCAT($N$1,R131))</f>
        <v>https://doi.org/10.1016/j.nmni.2026.101787</v>
      </c>
      <c r="O131" s="20">
        <v>455</v>
      </c>
      <c r="P131" s="20" t="s">
        <v>975</v>
      </c>
      <c r="Q131" s="20" t="s">
        <v>976</v>
      </c>
      <c r="R131" s="20" t="s">
        <v>977</v>
      </c>
      <c r="S131" s="20" t="s">
        <v>978</v>
      </c>
      <c r="T131" s="20" t="s">
        <v>266</v>
      </c>
      <c r="U131" s="2"/>
      <c r="V131" s="20">
        <v>2</v>
      </c>
      <c r="W131" s="2"/>
      <c r="X131" s="20" t="s">
        <v>979</v>
      </c>
      <c r="Y131" s="2"/>
      <c r="Z131" s="20" t="s">
        <v>21</v>
      </c>
      <c r="AA131" s="2"/>
      <c r="AB131" s="2"/>
      <c r="AC131" s="2"/>
      <c r="AD131" s="20" t="s">
        <v>352</v>
      </c>
      <c r="AE131" s="2"/>
      <c r="AF131" s="20" t="s">
        <v>270</v>
      </c>
      <c r="AG131" s="2"/>
      <c r="AH131" s="2"/>
      <c r="AI131" s="20" t="s">
        <v>271</v>
      </c>
      <c r="AJ131" s="2"/>
      <c r="AK131" s="20" t="s">
        <v>425</v>
      </c>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row>
    <row r="132" spans="1:297" ht="60" customHeight="1" x14ac:dyDescent="0.25">
      <c r="A132" s="5" t="str">
        <f t="shared" si="25"/>
        <v>Wang, et al, (2026), Pathogens</v>
      </c>
      <c r="B132" s="3" t="str">
        <f t="shared" si="26"/>
        <v>Development of Peptide Entry Inhibitors Targeting the Endosomal Receptor NPC1 Binding Site of Orthoebolavirus</v>
      </c>
      <c r="C132" s="4" t="str">
        <f t="shared" si="27"/>
        <v>Primary - article, Experimental, Peer-reviewed publication</v>
      </c>
      <c r="D132" s="4" t="str">
        <f t="shared" si="28"/>
        <v>Bundibugyo</v>
      </c>
      <c r="E132" s="4" t="str">
        <f t="shared" si="29"/>
        <v>Yes</v>
      </c>
      <c r="F132" s="4" t="str">
        <f t="shared" si="30"/>
        <v>This study designed peptide inhibitors effective against BDBV based on the Niemann–Pick C1 (NPC1) receptor to target the NPC1 binding site to block viral entry. The cyclized peptide erp1c demonstrated strong in vitro inhibition of BDBV infection (IC₅₀ = 13.73 µM) and partial in vivo protection in mice (25% survival), while its linear counterpart erp1 was less effective (IC₅₀ = 17.89 µM).</v>
      </c>
      <c r="G132" s="4" t="str">
        <f t="shared" si="31"/>
        <v>Infection immunity - efficacy/effectiveness; Infection immunity measures (Ab, titre, cytokines); pathogen  Protein-inhibitor/binding interactions</v>
      </c>
      <c r="H132" s="4" t="str">
        <f t="shared" si="32"/>
        <v>Animal - model of disease</v>
      </c>
      <c r="I132" s="4" t="str">
        <f t="shared" si="33"/>
        <v/>
      </c>
      <c r="J132" s="5" t="str">
        <f t="shared" si="34"/>
        <v>Protein-inhibitor/binding interactions:  
Both peptides erp1 and erp1c inhibited BDBV infection with IC50 values of 17.89 µM and 13.73 µM, respectively. Based on the side-by-side assay, peptide erp1c exhibited strong activity only against EBOV and BDBV with IC50 values of 11.6 µM and 11.3 µM, respectively, but no activity was observed against  Amphotropic murine leukemia virus,  suggesting that the inhibition from the peptide erp1c is specific to Orthoebolavirus or filoviruses and not others, because this peptide inhibitor was designed by specifically targeting the NPC1 binding site. The cyclized peptide erp1c (200 µg, twice daily for 7 days) provided partial protection in mice, with 2/8 surviving (25% survival) compared to 0/8 in untreated controls, indicating potential antiviral efficacy against MA EBOV.
After mutating two phenylalanines (FF) into two alanines (AA) in both forms of peptides erp1 (linear) and erp1c (cyclized) for functional analysis, the data displayed that in both linear and cyclized peptides show the mutated FF/AA peptides decreased the inhibition in a dose-dependent manner, compared with the counterpart wildtype peptide. The linear mutant peptide erp1aa increased the IC50 values from 25 µM to 109 µM with an estimated IC50 fold-change of 4.3; the cyclized mutant peptide erp1caa increased the IC50 values from 12.6 µM to 38.5 µM with an estimated IC50 fold-change of 3.0. These observed shifts in the inhibition curves strongly indicated that these two hydrophobic residues contribute significantly to the binding to the hydrophobic receptor binding sites. 
Molecular docking of cyclic peptides erp1c (wildtype) and erp1caa (FF/AA mutant) showed F7/F8 docked into NPC1’s receptor-binding site, mimicking loop 2. Surprisingly, the mutant shifted V9/Y10 to the binding pocket instead of A7/A8 but had lower affinity, confirming F7/F8’s critical role in viral entry inhibition.</v>
      </c>
      <c r="K132" s="5" t="str">
        <f t="shared" si="35"/>
        <v>Peptides were synthesized (≥95% purity) and viral glycoproteins (EBOV, BDBV) cloned into pCDNA3.1+ for pseudovirus production in 293T cells via PEI transfection. Inhibition assays included TZM-bl cell-based Luciferase tests (IC₅₀ calculation) and HeLa cell immunostaining (infection efficiency via CellProfiler). In vivo studies comprised pharmacokinetic analysis (IV injection, LC-MS/MS) and efficacy testing (subcutaneous peptide treatment post-MA EBOV challenge), with survival, histopathology, and body weight monitored for 21 days under BSL-4 containment.</v>
      </c>
      <c r="N132" s="2" t="str">
        <f t="shared" si="36"/>
        <v>https://doi.org/10.3390/pathogens15060640</v>
      </c>
      <c r="O132" s="20">
        <v>468</v>
      </c>
      <c r="P132" s="20" t="s">
        <v>980</v>
      </c>
      <c r="Q132" s="20" t="s">
        <v>981</v>
      </c>
      <c r="R132" s="20" t="s">
        <v>982</v>
      </c>
      <c r="S132" s="20" t="s">
        <v>983</v>
      </c>
      <c r="T132" s="20" t="s">
        <v>266</v>
      </c>
      <c r="U132" s="2"/>
      <c r="V132" s="20" t="s">
        <v>267</v>
      </c>
      <c r="W132" s="2"/>
      <c r="X132" s="20" t="s">
        <v>984</v>
      </c>
      <c r="Y132" s="2"/>
      <c r="Z132" s="20" t="s">
        <v>21</v>
      </c>
      <c r="AA132" s="2"/>
      <c r="AB132" s="2"/>
      <c r="AC132" s="2"/>
      <c r="AD132" s="20" t="s">
        <v>352</v>
      </c>
      <c r="AE132" s="2"/>
      <c r="AF132" s="20" t="s">
        <v>270</v>
      </c>
      <c r="AG132" s="2"/>
      <c r="AH132" s="2"/>
      <c r="AI132" s="20" t="s">
        <v>271</v>
      </c>
      <c r="AJ132" s="2"/>
      <c r="AK132" s="20" t="s">
        <v>272</v>
      </c>
      <c r="AL132" s="2"/>
      <c r="AM132" s="2"/>
      <c r="AN132" s="2"/>
      <c r="AO132" s="2"/>
      <c r="AP132" s="20" t="s">
        <v>985</v>
      </c>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0" t="s">
        <v>59</v>
      </c>
      <c r="BO132" s="2"/>
      <c r="BP132" s="2"/>
      <c r="BQ132" s="2"/>
      <c r="BR132" s="2"/>
      <c r="BS132" s="2"/>
      <c r="BT132" s="2"/>
      <c r="BU132" s="2"/>
      <c r="BV132" s="2"/>
      <c r="BW132" s="2"/>
      <c r="BX132" s="2"/>
      <c r="BY132" s="2"/>
      <c r="BZ132" s="2"/>
      <c r="CA132" s="2"/>
      <c r="CB132" s="2"/>
      <c r="CC132" s="2"/>
      <c r="CD132" s="2"/>
      <c r="CE132" s="2"/>
      <c r="CF132" s="2"/>
      <c r="CG132" s="2"/>
      <c r="CH132" s="20" t="s">
        <v>79</v>
      </c>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0" t="s">
        <v>73</v>
      </c>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0" t="s">
        <v>73</v>
      </c>
      <c r="EW132" s="2"/>
      <c r="EX132" s="2"/>
      <c r="EY132" s="2"/>
      <c r="EZ132" s="2"/>
      <c r="FA132" s="2"/>
      <c r="FB132" s="2"/>
      <c r="FC132" s="2"/>
      <c r="FD132" s="2"/>
      <c r="FE132" s="2"/>
      <c r="FF132" s="2"/>
      <c r="FG132" s="2"/>
      <c r="FH132" s="2"/>
      <c r="FI132" s="2"/>
      <c r="FJ132" s="2"/>
      <c r="FK132" s="2"/>
      <c r="FL132" s="2"/>
      <c r="FM132" s="2"/>
      <c r="FN132" s="2"/>
      <c r="FO132" s="2"/>
      <c r="FP132" s="2"/>
      <c r="FQ132" s="2"/>
      <c r="FR132" s="20" t="s">
        <v>73</v>
      </c>
      <c r="FS132" s="2"/>
      <c r="FT132" s="20" t="s">
        <v>161</v>
      </c>
      <c r="FU132" s="2"/>
      <c r="FV132" s="2"/>
      <c r="FW132" s="2"/>
      <c r="FX132" s="2"/>
      <c r="FY132" s="2"/>
      <c r="FZ132" s="20" t="s">
        <v>167</v>
      </c>
      <c r="GA132" s="2"/>
      <c r="GB132" s="2"/>
      <c r="GC132" s="2"/>
      <c r="GD132" s="2"/>
      <c r="GE132" s="2"/>
      <c r="GF132" s="2"/>
      <c r="GG132" s="2"/>
      <c r="GH132" s="2"/>
      <c r="GI132" s="2"/>
      <c r="GJ132" s="2"/>
      <c r="GK132" s="2"/>
      <c r="GL132" s="2"/>
      <c r="GM132" s="2"/>
      <c r="GN132" s="2"/>
      <c r="GO132" s="2"/>
      <c r="GP132" s="20" t="s">
        <v>73</v>
      </c>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0" t="s">
        <v>73</v>
      </c>
      <c r="HS132" s="2"/>
      <c r="HT132" s="2"/>
      <c r="HU132" s="2"/>
      <c r="HV132" s="2"/>
      <c r="HW132" s="2"/>
      <c r="HX132" s="2"/>
      <c r="HY132" s="2"/>
      <c r="HZ132" s="2"/>
      <c r="IA132" s="2"/>
      <c r="IB132" s="20" t="s">
        <v>73</v>
      </c>
      <c r="IC132" s="2"/>
      <c r="ID132" s="2"/>
      <c r="IE132" s="2"/>
      <c r="IF132" s="2"/>
      <c r="IG132" s="2"/>
      <c r="IH132" s="2"/>
      <c r="II132" s="2"/>
      <c r="IJ132" s="20" t="s">
        <v>73</v>
      </c>
      <c r="IK132" s="2"/>
      <c r="IL132" s="2"/>
      <c r="IM132" s="2"/>
      <c r="IN132" s="2"/>
      <c r="IO132" s="2"/>
      <c r="IP132" s="20" t="s">
        <v>225</v>
      </c>
      <c r="IQ132" s="2"/>
      <c r="IR132" s="2"/>
      <c r="IS132" s="2"/>
      <c r="IT132" s="2"/>
      <c r="IU132" s="2"/>
      <c r="IV132" s="2"/>
      <c r="IW132" s="2"/>
      <c r="IX132" s="20" t="s">
        <v>73</v>
      </c>
      <c r="IY132" s="2"/>
      <c r="IZ132" s="2"/>
      <c r="JA132" s="2"/>
      <c r="JB132" s="20" t="s">
        <v>73</v>
      </c>
      <c r="JC132" s="2"/>
      <c r="JD132" s="2"/>
      <c r="JE132" s="2"/>
      <c r="JF132" s="20" t="s">
        <v>73</v>
      </c>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0" t="s">
        <v>73</v>
      </c>
      <c r="KG132" s="2"/>
      <c r="KH132" s="20" t="s">
        <v>986</v>
      </c>
      <c r="KI132" s="2"/>
      <c r="KJ132" s="20" t="s">
        <v>987</v>
      </c>
      <c r="KK132" s="2"/>
    </row>
    <row r="133" spans="1:297" ht="60" customHeight="1" x14ac:dyDescent="0.25">
      <c r="A133" s="5" t="str">
        <f t="shared" si="25"/>
        <v>Ijaz, et al, (2026), American Journal of Infection Control</v>
      </c>
      <c r="B133" s="3" t="str">
        <f t="shared" si="26"/>
        <v>Hygiene and virucidal interventions in Ebola virus (Bundibugyo virus) and hantavirus (Andes virus) infection control: Translating laboratory evidence into practice</v>
      </c>
      <c r="C133" s="4" t="str">
        <f t="shared" si="27"/>
        <v>Commentary, Peer-reviewed publication</v>
      </c>
      <c r="D133" s="4" t="str">
        <f t="shared" si="28"/>
        <v>Bundibugyo</v>
      </c>
      <c r="E133" s="4" t="str">
        <f t="shared" si="29"/>
        <v>Yes</v>
      </c>
      <c r="F133" s="4" t="str">
        <f t="shared" si="30"/>
        <v/>
      </c>
      <c r="G133" s="4" t="str">
        <f t="shared" si="31"/>
        <v/>
      </c>
      <c r="H133" s="4" t="str">
        <f t="shared" si="32"/>
        <v/>
      </c>
      <c r="I133" s="4" t="str">
        <f t="shared" si="33"/>
        <v/>
      </c>
      <c r="J133" s="5" t="str">
        <f t="shared" si="34"/>
        <v/>
      </c>
      <c r="K133" s="5" t="str">
        <f t="shared" si="35"/>
        <v/>
      </c>
      <c r="N133" s="2" t="str">
        <f t="shared" si="36"/>
        <v>https://doi.org/10.1016/j.ajic.2026.06.023</v>
      </c>
      <c r="O133" s="20">
        <v>474</v>
      </c>
      <c r="P133" s="20" t="s">
        <v>988</v>
      </c>
      <c r="Q133" s="20" t="s">
        <v>989</v>
      </c>
      <c r="R133" s="20" t="s">
        <v>990</v>
      </c>
      <c r="S133" s="20" t="s">
        <v>991</v>
      </c>
      <c r="T133" s="20" t="s">
        <v>266</v>
      </c>
      <c r="U133" s="2"/>
      <c r="V133" s="20">
        <v>2</v>
      </c>
      <c r="W133" s="2"/>
      <c r="X133" s="20" t="s">
        <v>992</v>
      </c>
      <c r="Y133" s="2"/>
      <c r="Z133" s="20" t="s">
        <v>21</v>
      </c>
      <c r="AA133" s="2"/>
      <c r="AB133" s="2"/>
      <c r="AC133" s="2"/>
      <c r="AD133" s="20" t="s">
        <v>352</v>
      </c>
      <c r="AE133" s="2"/>
      <c r="AF133" s="20" t="s">
        <v>270</v>
      </c>
      <c r="AG133" s="2"/>
      <c r="AH133" s="2"/>
      <c r="AI133" s="20" t="s">
        <v>271</v>
      </c>
      <c r="AJ133" s="2"/>
      <c r="AK133" s="20" t="s">
        <v>425</v>
      </c>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row>
    <row r="134" spans="1:297" ht="60" customHeight="1" x14ac:dyDescent="0.25">
      <c r="A134" s="5" t="str">
        <f t="shared" si="25"/>
        <v>Hempel, et al, (2026), Infectious disease reports</v>
      </c>
      <c r="B134" s="3" t="str">
        <f t="shared" si="26"/>
        <v>Five Hot Topics in Tropical Medicine: 2025</v>
      </c>
      <c r="C134" s="4" t="str">
        <f t="shared" si="27"/>
        <v>Lit review, Peer-reviewed publication</v>
      </c>
      <c r="D134" s="4" t="str">
        <f t="shared" si="28"/>
        <v>Bundibugyo</v>
      </c>
      <c r="E134" s="4" t="str">
        <f t="shared" si="29"/>
        <v>Yes</v>
      </c>
      <c r="F134" s="4" t="str">
        <f t="shared" si="30"/>
        <v/>
      </c>
      <c r="G134" s="4" t="str">
        <f t="shared" si="31"/>
        <v/>
      </c>
      <c r="H134" s="4" t="str">
        <f t="shared" si="32"/>
        <v/>
      </c>
      <c r="I134" s="4" t="str">
        <f t="shared" si="33"/>
        <v/>
      </c>
      <c r="J134" s="5" t="str">
        <f t="shared" si="34"/>
        <v/>
      </c>
      <c r="K134" s="5" t="str">
        <f t="shared" si="35"/>
        <v/>
      </c>
      <c r="N134" s="2" t="str">
        <f t="shared" si="36"/>
        <v>https://doi.org/10.3390/idr18030060</v>
      </c>
      <c r="O134" s="20">
        <v>481</v>
      </c>
      <c r="P134" s="20" t="s">
        <v>993</v>
      </c>
      <c r="Q134" s="20" t="s">
        <v>994</v>
      </c>
      <c r="R134" s="20" t="s">
        <v>995</v>
      </c>
      <c r="S134" s="20" t="s">
        <v>996</v>
      </c>
      <c r="T134" s="20" t="s">
        <v>266</v>
      </c>
      <c r="U134" s="2"/>
      <c r="V134" s="20">
        <v>2</v>
      </c>
      <c r="W134" s="2"/>
      <c r="X134" s="20" t="s">
        <v>997</v>
      </c>
      <c r="Y134" s="2"/>
      <c r="Z134" s="20" t="s">
        <v>21</v>
      </c>
      <c r="AA134" s="2"/>
      <c r="AB134" s="2"/>
      <c r="AC134" s="2"/>
      <c r="AD134" s="20" t="s">
        <v>352</v>
      </c>
      <c r="AE134" s="2"/>
      <c r="AF134" s="20" t="s">
        <v>270</v>
      </c>
      <c r="AG134" s="2"/>
      <c r="AH134" s="2"/>
      <c r="AI134" s="20" t="s">
        <v>271</v>
      </c>
      <c r="AJ134" s="2"/>
      <c r="AK134" s="20" t="s">
        <v>346</v>
      </c>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row>
    <row r="135" spans="1:297" ht="60" customHeight="1" x14ac:dyDescent="0.25">
      <c r="A135" s="5" t="str">
        <f t="shared" si="25"/>
        <v>, (2026), Nature</v>
      </c>
      <c r="B135" s="3" t="str">
        <f t="shared" si="26"/>
        <v>Ebola can be stopped - but only if world leaders prioritize public health</v>
      </c>
      <c r="C135" s="4" t="str">
        <f t="shared" si="27"/>
        <v>Commentary, Peer-reviewed publication</v>
      </c>
      <c r="D135" s="4" t="str">
        <f t="shared" si="28"/>
        <v>Bundibugyo</v>
      </c>
      <c r="E135" s="4" t="str">
        <f t="shared" si="29"/>
        <v>Yes</v>
      </c>
      <c r="F135" s="4" t="str">
        <f t="shared" si="30"/>
        <v/>
      </c>
      <c r="G135" s="4" t="str">
        <f t="shared" si="31"/>
        <v/>
      </c>
      <c r="H135" s="4" t="str">
        <f t="shared" si="32"/>
        <v/>
      </c>
      <c r="I135" s="4" t="str">
        <f t="shared" si="33"/>
        <v/>
      </c>
      <c r="J135" s="5" t="str">
        <f t="shared" si="34"/>
        <v/>
      </c>
      <c r="K135" s="5" t="str">
        <f t="shared" si="35"/>
        <v/>
      </c>
      <c r="N135" s="2" t="str">
        <f t="shared" si="36"/>
        <v>https://doi.org/10.1038/d41586-026-01630-5</v>
      </c>
      <c r="O135" s="20">
        <v>493</v>
      </c>
      <c r="P135" s="20" t="s">
        <v>998</v>
      </c>
      <c r="Q135" s="20" t="s">
        <v>999</v>
      </c>
      <c r="R135" s="20" t="s">
        <v>1000</v>
      </c>
      <c r="S135" s="20" t="s">
        <v>1001</v>
      </c>
      <c r="T135" s="20" t="s">
        <v>266</v>
      </c>
      <c r="U135" s="2"/>
      <c r="V135" s="20">
        <v>2</v>
      </c>
      <c r="W135" s="2"/>
      <c r="X135" s="20" t="s">
        <v>1002</v>
      </c>
      <c r="Y135" s="2"/>
      <c r="Z135" s="20" t="s">
        <v>21</v>
      </c>
      <c r="AA135" s="2"/>
      <c r="AB135" s="2"/>
      <c r="AC135" s="2"/>
      <c r="AD135" s="20" t="s">
        <v>352</v>
      </c>
      <c r="AE135" s="2"/>
      <c r="AF135" s="20" t="s">
        <v>270</v>
      </c>
      <c r="AG135" s="2"/>
      <c r="AH135" s="2"/>
      <c r="AI135" s="20" t="s">
        <v>271</v>
      </c>
      <c r="AJ135" s="2"/>
      <c r="AK135" s="20" t="s">
        <v>425</v>
      </c>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row>
    <row r="136" spans="1:297" ht="60" customHeight="1" x14ac:dyDescent="0.25">
      <c r="A136" s="5" t="str">
        <f t="shared" si="25"/>
        <v xml:space="preserve">ECDC, (2026) </v>
      </c>
      <c r="B136" s="3" t="str">
        <f t="shared" si="26"/>
        <v>Communicable disease threats report, 19 - 26 June 2026, Week 26</v>
      </c>
      <c r="C136" s="4" t="str">
        <f t="shared" si="27"/>
        <v>Other non-primary, Government report</v>
      </c>
      <c r="D136" s="4" t="str">
        <f t="shared" si="28"/>
        <v>Bundibugyo</v>
      </c>
      <c r="E136" s="4" t="str">
        <f t="shared" si="29"/>
        <v>Yes</v>
      </c>
      <c r="F136" s="4" t="str">
        <f t="shared" si="30"/>
        <v/>
      </c>
      <c r="G136" s="4" t="str">
        <f t="shared" si="31"/>
        <v/>
      </c>
      <c r="H136" s="4" t="str">
        <f t="shared" si="32"/>
        <v/>
      </c>
      <c r="I136" s="4" t="str">
        <f t="shared" si="33"/>
        <v/>
      </c>
      <c r="J136" s="5" t="str">
        <f t="shared" si="34"/>
        <v/>
      </c>
      <c r="K136" s="5" t="str">
        <f t="shared" si="35"/>
        <v/>
      </c>
      <c r="N136" s="2" t="str">
        <f t="shared" si="36"/>
        <v>https://www.ecdc.europa.eu/en/publications-data/communicable-disease-threats-report-19-26-june-2026-week-26</v>
      </c>
      <c r="O136" s="20">
        <v>507</v>
      </c>
      <c r="P136" s="20" t="s">
        <v>1364</v>
      </c>
      <c r="Q136" s="20" t="s">
        <v>1003</v>
      </c>
      <c r="R136" s="2"/>
      <c r="S136" s="20" t="s">
        <v>1004</v>
      </c>
      <c r="T136" s="20" t="s">
        <v>266</v>
      </c>
      <c r="U136" s="2"/>
      <c r="V136" s="20">
        <v>2</v>
      </c>
      <c r="W136" s="2"/>
      <c r="X136" s="20" t="s">
        <v>1004</v>
      </c>
      <c r="Y136" s="2"/>
      <c r="Z136" s="20" t="s">
        <v>21</v>
      </c>
      <c r="AA136" s="2"/>
      <c r="AB136" s="2"/>
      <c r="AC136" s="2"/>
      <c r="AD136" s="20" t="s">
        <v>352</v>
      </c>
      <c r="AE136" s="2"/>
      <c r="AF136" s="20" t="s">
        <v>270</v>
      </c>
      <c r="AG136" s="2"/>
      <c r="AH136" s="2"/>
      <c r="AI136" s="20" t="s">
        <v>437</v>
      </c>
      <c r="AJ136" s="2"/>
      <c r="AK136" s="20" t="s">
        <v>449</v>
      </c>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row>
    <row r="137" spans="1:297" ht="60" customHeight="1" x14ac:dyDescent="0.25">
      <c r="A137" s="5" t="str">
        <f t="shared" si="25"/>
        <v xml:space="preserve">ECDC, (2026) </v>
      </c>
      <c r="B137" s="3" t="str">
        <f t="shared" si="26"/>
        <v>Fact-finding mission on airport exit screening - EU Health Task Force mission to Democratic Republic of Congo and Uganda in response to the Bundibugyo virus disease outbreak 2026</v>
      </c>
      <c r="C137" s="4" t="str">
        <f t="shared" si="27"/>
        <v>Other non-primary, Government report</v>
      </c>
      <c r="D137" s="4" t="str">
        <f t="shared" si="28"/>
        <v>Bundibugyo</v>
      </c>
      <c r="E137" s="4" t="str">
        <f t="shared" si="29"/>
        <v>Yes</v>
      </c>
      <c r="F137" s="4" t="str">
        <f t="shared" si="30"/>
        <v/>
      </c>
      <c r="G137" s="4" t="str">
        <f t="shared" si="31"/>
        <v/>
      </c>
      <c r="H137" s="4" t="str">
        <f t="shared" si="32"/>
        <v/>
      </c>
      <c r="I137" s="4" t="str">
        <f t="shared" si="33"/>
        <v/>
      </c>
      <c r="J137" s="5" t="str">
        <f t="shared" si="34"/>
        <v/>
      </c>
      <c r="K137" s="5" t="str">
        <f t="shared" si="35"/>
        <v/>
      </c>
      <c r="N137" s="2" t="str">
        <f t="shared" si="36"/>
        <v>https://www.ecdc.europa.eu/en/publications-data/fact-finding-mission-airport-exit-screening-eu-health-task-force-mission</v>
      </c>
      <c r="O137" s="20">
        <v>508</v>
      </c>
      <c r="P137" s="20" t="s">
        <v>1364</v>
      </c>
      <c r="Q137" s="20" t="s">
        <v>1005</v>
      </c>
      <c r="R137" s="2"/>
      <c r="S137" s="20" t="s">
        <v>1006</v>
      </c>
      <c r="T137" s="20" t="s">
        <v>266</v>
      </c>
      <c r="U137" s="2"/>
      <c r="V137" s="20">
        <v>2</v>
      </c>
      <c r="W137" s="2"/>
      <c r="X137" s="20" t="s">
        <v>1006</v>
      </c>
      <c r="Y137" s="2"/>
      <c r="Z137" s="20" t="s">
        <v>21</v>
      </c>
      <c r="AA137" s="2"/>
      <c r="AB137" s="2"/>
      <c r="AC137" s="2"/>
      <c r="AD137" s="20" t="s">
        <v>352</v>
      </c>
      <c r="AE137" s="2"/>
      <c r="AF137" s="20" t="s">
        <v>270</v>
      </c>
      <c r="AG137" s="2"/>
      <c r="AH137" s="2"/>
      <c r="AI137" s="20" t="s">
        <v>437</v>
      </c>
      <c r="AJ137" s="2"/>
      <c r="AK137" s="20" t="s">
        <v>449</v>
      </c>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row>
    <row r="138" spans="1:297" ht="60" customHeight="1" x14ac:dyDescent="0.25">
      <c r="A138" s="5" t="str">
        <f t="shared" si="25"/>
        <v>Bongiovanni, et al, (2026), International Journal of Infectious Diseases</v>
      </c>
      <c r="B138" s="3" t="str">
        <f t="shared" si="26"/>
        <v>Bundibugyo virus disease: transmission dynamics, infectiousness and viral persistence</v>
      </c>
      <c r="C138" s="4" t="str">
        <f t="shared" si="27"/>
        <v>Commentary, Peer-reviewed publication</v>
      </c>
      <c r="D138" s="4" t="str">
        <f t="shared" si="28"/>
        <v>Bundibugyo</v>
      </c>
      <c r="E138" s="4" t="str">
        <f t="shared" si="29"/>
        <v>Yes</v>
      </c>
      <c r="F138" s="4" t="str">
        <f t="shared" si="30"/>
        <v/>
      </c>
      <c r="G138" s="4" t="str">
        <f t="shared" si="31"/>
        <v/>
      </c>
      <c r="H138" s="4" t="str">
        <f t="shared" si="32"/>
        <v/>
      </c>
      <c r="I138" s="4" t="str">
        <f t="shared" si="33"/>
        <v/>
      </c>
      <c r="J138" s="5" t="str">
        <f t="shared" si="34"/>
        <v/>
      </c>
      <c r="K138" s="5" t="str">
        <f t="shared" si="35"/>
        <v/>
      </c>
      <c r="N138" s="2" t="str">
        <f t="shared" si="36"/>
        <v>https://doi.org/10.1016/j.ijid.2026.108939</v>
      </c>
      <c r="O138" s="20">
        <v>510</v>
      </c>
      <c r="P138" s="20" t="s">
        <v>1007</v>
      </c>
      <c r="Q138" s="20" t="s">
        <v>1008</v>
      </c>
      <c r="R138" s="20" t="s">
        <v>1009</v>
      </c>
      <c r="S138" s="20" t="s">
        <v>1010</v>
      </c>
      <c r="T138" s="20" t="s">
        <v>266</v>
      </c>
      <c r="U138" s="2"/>
      <c r="V138" s="20">
        <v>2</v>
      </c>
      <c r="W138" s="2"/>
      <c r="X138" s="20" t="s">
        <v>1011</v>
      </c>
      <c r="Y138" s="2"/>
      <c r="Z138" s="20" t="s">
        <v>21</v>
      </c>
      <c r="AA138" s="2"/>
      <c r="AB138" s="2"/>
      <c r="AC138" s="2"/>
      <c r="AD138" s="20" t="s">
        <v>352</v>
      </c>
      <c r="AE138" s="2"/>
      <c r="AF138" s="20" t="s">
        <v>270</v>
      </c>
      <c r="AG138" s="2"/>
      <c r="AH138" s="2"/>
      <c r="AI138" s="20" t="s">
        <v>271</v>
      </c>
      <c r="AJ138" s="2"/>
      <c r="AK138" s="20" t="s">
        <v>425</v>
      </c>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row>
    <row r="139" spans="1:297" ht="60" customHeight="1" x14ac:dyDescent="0.25">
      <c r="A139" s="5" t="str">
        <f t="shared" si="25"/>
        <v>Vaman, et al, (2026), Infectious Diseases</v>
      </c>
      <c r="B139" s="3" t="str">
        <f t="shared" si="26"/>
        <v>The 2026 Bundibugyo virus outbreak: a test of global outbreak preparedness</v>
      </c>
      <c r="C139" s="4" t="str">
        <f t="shared" si="27"/>
        <v>Commentary, Peer-reviewed publication</v>
      </c>
      <c r="D139" s="4" t="str">
        <f t="shared" si="28"/>
        <v>Bundibugyo</v>
      </c>
      <c r="E139" s="4" t="str">
        <f t="shared" si="29"/>
        <v>Yes</v>
      </c>
      <c r="F139" s="4" t="str">
        <f t="shared" si="30"/>
        <v/>
      </c>
      <c r="G139" s="4" t="str">
        <f t="shared" si="31"/>
        <v/>
      </c>
      <c r="H139" s="4" t="str">
        <f t="shared" si="32"/>
        <v/>
      </c>
      <c r="I139" s="4" t="str">
        <f t="shared" si="33"/>
        <v/>
      </c>
      <c r="J139" s="5" t="str">
        <f t="shared" si="34"/>
        <v/>
      </c>
      <c r="K139" s="5" t="str">
        <f t="shared" si="35"/>
        <v/>
      </c>
      <c r="N139" s="2" t="str">
        <f t="shared" si="36"/>
        <v>https://doi.org/10.1080/23744235.2026.2689412</v>
      </c>
      <c r="O139" s="20">
        <v>521</v>
      </c>
      <c r="P139" s="20" t="s">
        <v>1012</v>
      </c>
      <c r="Q139" s="20" t="s">
        <v>1013</v>
      </c>
      <c r="R139" s="20" t="s">
        <v>1014</v>
      </c>
      <c r="S139" s="20" t="s">
        <v>1015</v>
      </c>
      <c r="T139" s="20" t="s">
        <v>266</v>
      </c>
      <c r="U139" s="2"/>
      <c r="V139" s="20">
        <v>2</v>
      </c>
      <c r="W139" s="2"/>
      <c r="X139" s="20" t="s">
        <v>1016</v>
      </c>
      <c r="Y139" s="2"/>
      <c r="Z139" s="20" t="s">
        <v>21</v>
      </c>
      <c r="AA139" s="2"/>
      <c r="AB139" s="2"/>
      <c r="AC139" s="2"/>
      <c r="AD139" s="20" t="s">
        <v>352</v>
      </c>
      <c r="AE139" s="2"/>
      <c r="AF139" s="20" t="s">
        <v>270</v>
      </c>
      <c r="AG139" s="2"/>
      <c r="AH139" s="2"/>
      <c r="AI139" s="20" t="s">
        <v>271</v>
      </c>
      <c r="AJ139" s="2"/>
      <c r="AK139" s="20" t="s">
        <v>425</v>
      </c>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row>
    <row r="140" spans="1:297" ht="60" customHeight="1" x14ac:dyDescent="0.25">
      <c r="A140" s="5" t="str">
        <f t="shared" si="25"/>
        <v>Branda, et al, (2026), The Lancet Global Health</v>
      </c>
      <c r="B140" s="3" t="str">
        <f t="shared" si="26"/>
        <v>Bundibugyo virus and the cognition gap: rethinking epidemic preparedness in the era of regionalised outbreaks</v>
      </c>
      <c r="C140" s="4" t="str">
        <f t="shared" si="27"/>
        <v>Primary - article, Descriptive, Peer-reviewed publication</v>
      </c>
      <c r="D140" s="4" t="str">
        <f t="shared" si="28"/>
        <v>Bundibugyo</v>
      </c>
      <c r="E140" s="4" t="str">
        <f t="shared" si="29"/>
        <v>Yes</v>
      </c>
      <c r="F140" s="4" t="str">
        <f t="shared" si="30"/>
        <v>This commentary addresses the cognition gap surrounding Bundibugyo virus (BDBV) outbreak preparedness and provides a Bayesian phylogenetic analysis on all freely available BDBV genome sequences, revealing two main clades corresponding to historical outbreaks in Uganda (UGA clade, 2007) and DR Congo (COD clade, 2012). These findings highlight clear geographical and temporal segregation of the viral lineages characterized to date and evolutionary continuity with the Congolese lineage and in the absence of evidence supporting independent zoonotic introductions, new genome sequences are likely to fall within or near the historical COD clade.</v>
      </c>
      <c r="G140" s="4" t="str">
        <f t="shared" si="31"/>
        <v>Phylogenetic analysis/molecular epidemiology</v>
      </c>
      <c r="H140" s="4" t="str">
        <f t="shared" si="32"/>
        <v>Human - General population</v>
      </c>
      <c r="I140" s="4" t="str">
        <f t="shared" si="33"/>
        <v/>
      </c>
      <c r="J140" s="5" t="str">
        <f t="shared" si="34"/>
        <v>Phylogenetic analysis/molecular epidemiology: The Bayesian phylogenetic analysis conducted on all BDBV genome sequence, revealed two main clades, corresponding to historical outbreaks in Uganda (UGA clade, 2007) and DR Congo (COD clade, 2012), highlighting clear geographical and temporal segregation of the viral lineages characterised to date and evolutionary continuity with the Congolese lineage. In the absence of evidence supporting independent zoonotic introductions, new genome sequences are likely to fall within or near the historical COD clade. This phylogenetic uncertainty is compounded by substantial clinical and epidemiological challenges. The initial manifestations of BDBV are indistinguishable from other endemic febrile illnesses in eastern DR Congo, delaying case recognition.</v>
      </c>
      <c r="K140" s="5" t="str">
        <f t="shared" si="35"/>
        <v>Authors conducted the Bayesian phylogenetic analysis on all BDBV genome sequences freely available in the Pathoplexus Database.</v>
      </c>
      <c r="N140" s="2" t="str">
        <f t="shared" si="36"/>
        <v>https://doi.org/10.1016/j.langlo.2026.104020</v>
      </c>
      <c r="O140" s="20">
        <v>522</v>
      </c>
      <c r="P140" s="20" t="s">
        <v>1017</v>
      </c>
      <c r="Q140" s="20" t="s">
        <v>1018</v>
      </c>
      <c r="R140" s="20" t="s">
        <v>1019</v>
      </c>
      <c r="S140" s="20" t="s">
        <v>1020</v>
      </c>
      <c r="T140" s="20" t="s">
        <v>266</v>
      </c>
      <c r="U140" s="2"/>
      <c r="V140" s="20" t="s">
        <v>267</v>
      </c>
      <c r="W140" s="2"/>
      <c r="X140" s="20" t="s">
        <v>1021</v>
      </c>
      <c r="Y140" s="2"/>
      <c r="Z140" s="20" t="s">
        <v>21</v>
      </c>
      <c r="AA140" s="2"/>
      <c r="AB140" s="2"/>
      <c r="AC140" s="2"/>
      <c r="AD140" s="20" t="s">
        <v>352</v>
      </c>
      <c r="AE140" s="2"/>
      <c r="AF140" s="20" t="s">
        <v>270</v>
      </c>
      <c r="AG140" s="2"/>
      <c r="AH140" s="2"/>
      <c r="AI140" s="20" t="s">
        <v>271</v>
      </c>
      <c r="AJ140" s="2"/>
      <c r="AK140" s="20" t="s">
        <v>272</v>
      </c>
      <c r="AL140" s="2"/>
      <c r="AM140" s="2"/>
      <c r="AN140" s="2"/>
      <c r="AO140" s="2"/>
      <c r="AP140" s="20" t="s">
        <v>1022</v>
      </c>
      <c r="AQ140" s="2"/>
      <c r="AR140" s="20" t="s">
        <v>37</v>
      </c>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0" t="s">
        <v>77</v>
      </c>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0" t="s">
        <v>73</v>
      </c>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0" t="s">
        <v>73</v>
      </c>
      <c r="EW140" s="2"/>
      <c r="EX140" s="2"/>
      <c r="EY140" s="2"/>
      <c r="EZ140" s="2"/>
      <c r="FA140" s="2"/>
      <c r="FB140" s="2"/>
      <c r="FC140" s="2"/>
      <c r="FD140" s="2"/>
      <c r="FE140" s="2"/>
      <c r="FF140" s="2"/>
      <c r="FG140" s="2"/>
      <c r="FH140" s="2"/>
      <c r="FI140" s="2"/>
      <c r="FJ140" s="2"/>
      <c r="FK140" s="2"/>
      <c r="FL140" s="2"/>
      <c r="FM140" s="2"/>
      <c r="FN140" s="2"/>
      <c r="FO140" s="2"/>
      <c r="FP140" s="2"/>
      <c r="FQ140" s="2"/>
      <c r="FR140" s="20" t="s">
        <v>73</v>
      </c>
      <c r="FS140" s="2"/>
      <c r="FT140" s="2"/>
      <c r="FU140" s="2"/>
      <c r="FV140" s="2"/>
      <c r="FW140" s="2"/>
      <c r="FX140" s="2"/>
      <c r="FY140" s="2"/>
      <c r="FZ140" s="2"/>
      <c r="GA140" s="2"/>
      <c r="GB140" s="2"/>
      <c r="GC140" s="2"/>
      <c r="GD140" s="2"/>
      <c r="GE140" s="2"/>
      <c r="GF140" s="20" t="s">
        <v>73</v>
      </c>
      <c r="GG140" s="2"/>
      <c r="GH140" s="2"/>
      <c r="GI140" s="2"/>
      <c r="GJ140" s="2"/>
      <c r="GK140" s="2"/>
      <c r="GL140" s="2"/>
      <c r="GM140" s="2"/>
      <c r="GN140" s="2"/>
      <c r="GO140" s="2"/>
      <c r="GP140" s="20" t="s">
        <v>73</v>
      </c>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0" t="s">
        <v>73</v>
      </c>
      <c r="HS140" s="2"/>
      <c r="HT140" s="2"/>
      <c r="HU140" s="2"/>
      <c r="HV140" s="2"/>
      <c r="HW140" s="2"/>
      <c r="HX140" s="2"/>
      <c r="HY140" s="2"/>
      <c r="HZ140" s="2"/>
      <c r="IA140" s="2"/>
      <c r="IB140" s="20" t="s">
        <v>73</v>
      </c>
      <c r="IC140" s="2"/>
      <c r="ID140" s="2"/>
      <c r="IE140" s="2"/>
      <c r="IF140" s="2"/>
      <c r="IG140" s="2"/>
      <c r="IH140" s="2"/>
      <c r="II140" s="2"/>
      <c r="IJ140" s="2"/>
      <c r="IK140" s="2"/>
      <c r="IL140" s="2"/>
      <c r="IM140" s="2"/>
      <c r="IN140" s="2"/>
      <c r="IO140" s="2"/>
      <c r="IP140" s="2"/>
      <c r="IQ140" s="2"/>
      <c r="IR140" s="20" t="s">
        <v>227</v>
      </c>
      <c r="IS140" s="2"/>
      <c r="IT140" s="2"/>
      <c r="IU140" s="2"/>
      <c r="IV140" s="2"/>
      <c r="IW140" s="2"/>
      <c r="IX140" s="20" t="s">
        <v>73</v>
      </c>
      <c r="IY140" s="2"/>
      <c r="IZ140" s="2"/>
      <c r="JA140" s="2"/>
      <c r="JB140" s="20" t="s">
        <v>73</v>
      </c>
      <c r="JC140" s="2"/>
      <c r="JD140" s="2"/>
      <c r="JE140" s="2"/>
      <c r="JF140" s="20" t="s">
        <v>73</v>
      </c>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0" t="s">
        <v>73</v>
      </c>
      <c r="KG140" s="2"/>
      <c r="KH140" s="20" t="s">
        <v>1023</v>
      </c>
      <c r="KI140" s="2"/>
      <c r="KJ140" s="20" t="s">
        <v>1024</v>
      </c>
      <c r="KK140" s="2"/>
    </row>
    <row r="141" spans="1:297" ht="60" customHeight="1" x14ac:dyDescent="0.25">
      <c r="A141" s="5" t="str">
        <f t="shared" si="25"/>
        <v>Gupta, et al, (2026), CMI Communications</v>
      </c>
      <c r="B141" s="3" t="str">
        <f t="shared" si="26"/>
        <v>Bundibugyo ebolavirus (BDBV): what first responders/clinicians need to know</v>
      </c>
      <c r="C141" s="4" t="str">
        <f t="shared" si="27"/>
        <v>Other non-primary, Peer-reviewed publication</v>
      </c>
      <c r="D141" s="4" t="str">
        <f t="shared" si="28"/>
        <v>Bundibugyo</v>
      </c>
      <c r="E141" s="4" t="str">
        <f t="shared" si="29"/>
        <v>Yes</v>
      </c>
      <c r="F141" s="4" t="str">
        <f t="shared" si="30"/>
        <v/>
      </c>
      <c r="G141" s="4" t="str">
        <f t="shared" si="31"/>
        <v/>
      </c>
      <c r="H141" s="4" t="str">
        <f t="shared" si="32"/>
        <v/>
      </c>
      <c r="I141" s="4" t="str">
        <f t="shared" si="33"/>
        <v/>
      </c>
      <c r="J141" s="5" t="str">
        <f t="shared" si="34"/>
        <v/>
      </c>
      <c r="K141" s="5" t="str">
        <f t="shared" si="35"/>
        <v/>
      </c>
      <c r="N141" s="2" t="str">
        <f t="shared" si="36"/>
        <v>https://doi.org/10.1016/j.cmicom.2026.105207</v>
      </c>
      <c r="O141" s="20">
        <v>530</v>
      </c>
      <c r="P141" s="20" t="s">
        <v>1025</v>
      </c>
      <c r="Q141" s="20" t="s">
        <v>1026</v>
      </c>
      <c r="R141" s="20" t="s">
        <v>1027</v>
      </c>
      <c r="S141" s="20" t="s">
        <v>1028</v>
      </c>
      <c r="T141" s="20" t="s">
        <v>266</v>
      </c>
      <c r="U141" s="2"/>
      <c r="V141" s="20">
        <v>2</v>
      </c>
      <c r="W141" s="2"/>
      <c r="X141" s="20" t="s">
        <v>1029</v>
      </c>
      <c r="Y141" s="2"/>
      <c r="Z141" s="20" t="s">
        <v>21</v>
      </c>
      <c r="AA141" s="2"/>
      <c r="AB141" s="2"/>
      <c r="AC141" s="2"/>
      <c r="AD141" s="20" t="s">
        <v>352</v>
      </c>
      <c r="AE141" s="2"/>
      <c r="AF141" s="20" t="s">
        <v>270</v>
      </c>
      <c r="AG141" s="2"/>
      <c r="AH141" s="2"/>
      <c r="AI141" s="20" t="s">
        <v>271</v>
      </c>
      <c r="AJ141" s="2"/>
      <c r="AK141" s="20" t="s">
        <v>449</v>
      </c>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row>
    <row r="142" spans="1:297" ht="60" customHeight="1" x14ac:dyDescent="0.25">
      <c r="A142" s="5" t="str">
        <f t="shared" si="25"/>
        <v>Nishtar, et al, (2026), Nature Health (Nat. Health)</v>
      </c>
      <c r="B142" s="3" t="str">
        <f t="shared" si="26"/>
        <v>Financial innovation can deliver a Bundibugyo Ebola vaccine</v>
      </c>
      <c r="C142" s="4" t="str">
        <f t="shared" si="27"/>
        <v>News, Peer-reviewed publication</v>
      </c>
      <c r="D142" s="4" t="str">
        <f t="shared" si="28"/>
        <v>Bundibugyo</v>
      </c>
      <c r="E142" s="4" t="str">
        <f t="shared" si="29"/>
        <v>Yes</v>
      </c>
      <c r="F142" s="4" t="str">
        <f t="shared" si="30"/>
        <v/>
      </c>
      <c r="G142" s="4" t="str">
        <f t="shared" si="31"/>
        <v/>
      </c>
      <c r="H142" s="4" t="str">
        <f t="shared" si="32"/>
        <v/>
      </c>
      <c r="I142" s="4" t="str">
        <f t="shared" si="33"/>
        <v/>
      </c>
      <c r="J142" s="5" t="str">
        <f t="shared" si="34"/>
        <v/>
      </c>
      <c r="K142" s="5" t="str">
        <f t="shared" si="35"/>
        <v/>
      </c>
      <c r="N142" s="2" t="str">
        <f t="shared" si="36"/>
        <v>https://doi.org/https://doi.org/10.1038/s44360-026-00173-3</v>
      </c>
      <c r="O142" s="20">
        <v>531</v>
      </c>
      <c r="P142" s="20" t="s">
        <v>1030</v>
      </c>
      <c r="Q142" s="20" t="s">
        <v>1031</v>
      </c>
      <c r="R142" s="20" t="s">
        <v>1032</v>
      </c>
      <c r="S142" s="2"/>
      <c r="T142" s="20" t="s">
        <v>266</v>
      </c>
      <c r="U142" s="2"/>
      <c r="V142" s="20">
        <v>2</v>
      </c>
      <c r="W142" s="2"/>
      <c r="X142" s="20" t="s">
        <v>1033</v>
      </c>
      <c r="Y142" s="2"/>
      <c r="Z142" s="20" t="s">
        <v>21</v>
      </c>
      <c r="AA142" s="2"/>
      <c r="AB142" s="2"/>
      <c r="AC142" s="2"/>
      <c r="AD142" s="20" t="s">
        <v>352</v>
      </c>
      <c r="AE142" s="2"/>
      <c r="AF142" s="20" t="s">
        <v>270</v>
      </c>
      <c r="AG142" s="2"/>
      <c r="AH142" s="2"/>
      <c r="AI142" s="20" t="s">
        <v>271</v>
      </c>
      <c r="AJ142" s="2"/>
      <c r="AK142" s="20" t="s">
        <v>307</v>
      </c>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row>
    <row r="143" spans="1:297" ht="60" customHeight="1" x14ac:dyDescent="0.25">
      <c r="A143" s="5" t="str">
        <f t="shared" si="25"/>
        <v>Ngashi Ngongo, et al, (2026), Nature Health (Nat. Health)</v>
      </c>
      <c r="B143" s="3" t="str">
        <f t="shared" si="26"/>
        <v>Community engagement should be the priority for containment of the Bundibugyo Ebola outbreak</v>
      </c>
      <c r="C143" s="4" t="str">
        <f t="shared" si="27"/>
        <v>Commentary, Peer-reviewed publication</v>
      </c>
      <c r="D143" s="4" t="str">
        <f t="shared" si="28"/>
        <v>Bundibugyo</v>
      </c>
      <c r="E143" s="4" t="str">
        <f t="shared" si="29"/>
        <v>Yes</v>
      </c>
      <c r="F143" s="4" t="str">
        <f t="shared" si="30"/>
        <v/>
      </c>
      <c r="G143" s="4" t="str">
        <f t="shared" si="31"/>
        <v/>
      </c>
      <c r="H143" s="4" t="str">
        <f t="shared" si="32"/>
        <v/>
      </c>
      <c r="I143" s="4" t="str">
        <f t="shared" si="33"/>
        <v/>
      </c>
      <c r="J143" s="5" t="str">
        <f t="shared" si="34"/>
        <v/>
      </c>
      <c r="K143" s="5" t="str">
        <f t="shared" si="35"/>
        <v/>
      </c>
      <c r="N143" s="2" t="str">
        <f t="shared" si="36"/>
        <v>https://doi.org/https://doi.org/10.1038/s44360-026-00172-4</v>
      </c>
      <c r="O143" s="20">
        <v>532</v>
      </c>
      <c r="P143" s="20" t="s">
        <v>1034</v>
      </c>
      <c r="Q143" s="20" t="s">
        <v>1035</v>
      </c>
      <c r="R143" s="20" t="s">
        <v>1036</v>
      </c>
      <c r="S143" s="20" t="s">
        <v>1037</v>
      </c>
      <c r="T143" s="20" t="s">
        <v>266</v>
      </c>
      <c r="U143" s="2"/>
      <c r="V143" s="20">
        <v>2</v>
      </c>
      <c r="W143" s="2"/>
      <c r="X143" s="20" t="s">
        <v>1037</v>
      </c>
      <c r="Y143" s="2"/>
      <c r="Z143" s="20" t="s">
        <v>21</v>
      </c>
      <c r="AA143" s="2"/>
      <c r="AB143" s="2"/>
      <c r="AC143" s="2"/>
      <c r="AD143" s="20" t="s">
        <v>352</v>
      </c>
      <c r="AE143" s="2"/>
      <c r="AF143" s="20" t="s">
        <v>270</v>
      </c>
      <c r="AG143" s="2"/>
      <c r="AH143" s="2"/>
      <c r="AI143" s="20" t="s">
        <v>271</v>
      </c>
      <c r="AJ143" s="2"/>
      <c r="AK143" s="20" t="s">
        <v>425</v>
      </c>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row>
    <row r="144" spans="1:297" ht="60" customHeight="1" x14ac:dyDescent="0.25">
      <c r="A144" s="5" t="str">
        <f t="shared" si="25"/>
        <v>Faico-Filho, et al, (2026), Journal of Hospital Infection</v>
      </c>
      <c r="B144" s="3" t="str">
        <f t="shared" si="26"/>
        <v>Past lessons for the 2026 Bundibugyo virus outbreak: filovirus infection prevention in conflict-affected settings</v>
      </c>
      <c r="C144" s="4" t="str">
        <f t="shared" si="27"/>
        <v>Lit review, Peer-reviewed publication</v>
      </c>
      <c r="D144" s="4" t="str">
        <f t="shared" si="28"/>
        <v>Bundibugyo</v>
      </c>
      <c r="E144" s="4" t="str">
        <f t="shared" si="29"/>
        <v>Yes</v>
      </c>
      <c r="F144" s="4" t="str">
        <f t="shared" si="30"/>
        <v/>
      </c>
      <c r="G144" s="4" t="str">
        <f t="shared" si="31"/>
        <v/>
      </c>
      <c r="H144" s="4" t="str">
        <f t="shared" si="32"/>
        <v/>
      </c>
      <c r="I144" s="4" t="str">
        <f t="shared" si="33"/>
        <v/>
      </c>
      <c r="J144" s="5" t="str">
        <f t="shared" si="34"/>
        <v/>
      </c>
      <c r="K144" s="5" t="str">
        <f t="shared" si="35"/>
        <v/>
      </c>
      <c r="N144" s="2" t="str">
        <f t="shared" si="36"/>
        <v>https://doi.org/10.1016/j.jhin.2026.06.023</v>
      </c>
      <c r="O144" s="20">
        <v>534</v>
      </c>
      <c r="P144" s="20" t="s">
        <v>1038</v>
      </c>
      <c r="Q144" s="20" t="s">
        <v>1039</v>
      </c>
      <c r="R144" s="20" t="s">
        <v>1040</v>
      </c>
      <c r="S144" s="20" t="s">
        <v>1041</v>
      </c>
      <c r="T144" s="20" t="s">
        <v>266</v>
      </c>
      <c r="U144" s="2"/>
      <c r="V144" s="20">
        <v>2</v>
      </c>
      <c r="W144" s="2"/>
      <c r="X144" s="20" t="s">
        <v>1042</v>
      </c>
      <c r="Y144" s="2"/>
      <c r="Z144" s="20" t="s">
        <v>21</v>
      </c>
      <c r="AA144" s="2"/>
      <c r="AB144" s="2"/>
      <c r="AC144" s="2"/>
      <c r="AD144" s="20" t="s">
        <v>352</v>
      </c>
      <c r="AE144" s="2"/>
      <c r="AF144" s="20" t="s">
        <v>270</v>
      </c>
      <c r="AG144" s="2"/>
      <c r="AH144" s="2"/>
      <c r="AI144" s="20" t="s">
        <v>271</v>
      </c>
      <c r="AJ144" s="2"/>
      <c r="AK144" s="20" t="s">
        <v>346</v>
      </c>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row>
    <row r="145" spans="1:297" ht="60" customHeight="1" x14ac:dyDescent="0.25">
      <c r="A145" s="5" t="str">
        <f t="shared" si="25"/>
        <v xml:space="preserve">Dereje, et al, (2026) </v>
      </c>
      <c r="B145" s="3" t="str">
        <f t="shared" si="26"/>
        <v>The Bundibugyo virus disease outbreak: a warning signal for risks to health workers</v>
      </c>
      <c r="C145" s="4" t="str">
        <f t="shared" si="27"/>
        <v>Commentary, Peer-reviewed publication</v>
      </c>
      <c r="D145" s="4" t="str">
        <f t="shared" si="28"/>
        <v>Bundibugyo</v>
      </c>
      <c r="E145" s="4" t="str">
        <f t="shared" si="29"/>
        <v>Yes</v>
      </c>
      <c r="F145" s="4" t="str">
        <f t="shared" si="30"/>
        <v/>
      </c>
      <c r="G145" s="4" t="str">
        <f t="shared" si="31"/>
        <v/>
      </c>
      <c r="H145" s="4" t="str">
        <f t="shared" si="32"/>
        <v/>
      </c>
      <c r="I145" s="4" t="str">
        <f t="shared" si="33"/>
        <v/>
      </c>
      <c r="J145" s="5" t="str">
        <f t="shared" si="34"/>
        <v/>
      </c>
      <c r="K145" s="5" t="str">
        <f t="shared" si="35"/>
        <v/>
      </c>
      <c r="N145" s="2" t="str">
        <f t="shared" si="36"/>
        <v>https://doi.org/10.1016/s1473-3099(26)00364-6</v>
      </c>
      <c r="O145" s="20">
        <v>539</v>
      </c>
      <c r="P145" s="20" t="s">
        <v>1389</v>
      </c>
      <c r="Q145" s="20" t="s">
        <v>1043</v>
      </c>
      <c r="R145" s="20" t="s">
        <v>1044</v>
      </c>
      <c r="S145" s="20" t="s">
        <v>1045</v>
      </c>
      <c r="T145" s="20" t="s">
        <v>266</v>
      </c>
      <c r="U145" s="2"/>
      <c r="V145" s="20">
        <v>2</v>
      </c>
      <c r="W145" s="2"/>
      <c r="X145" s="20" t="s">
        <v>1046</v>
      </c>
      <c r="Y145" s="2"/>
      <c r="Z145" s="20" t="s">
        <v>21</v>
      </c>
      <c r="AA145" s="2"/>
      <c r="AB145" s="2"/>
      <c r="AC145" s="2"/>
      <c r="AD145" s="20" t="s">
        <v>352</v>
      </c>
      <c r="AE145" s="2"/>
      <c r="AF145" s="20" t="s">
        <v>270</v>
      </c>
      <c r="AG145" s="2"/>
      <c r="AH145" s="2"/>
      <c r="AI145" s="20" t="s">
        <v>271</v>
      </c>
      <c r="AJ145" s="2"/>
      <c r="AK145" s="20" t="s">
        <v>425</v>
      </c>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row>
    <row r="146" spans="1:297" ht="60" customHeight="1" x14ac:dyDescent="0.25">
      <c r="A146" s="5" t="str">
        <f t="shared" si="25"/>
        <v>Geoffroy, et al, (2026), Lancet (London, England)</v>
      </c>
      <c r="B146" s="3" t="str">
        <f t="shared" si="26"/>
        <v>Research priorities for characterising Bundibugyo virus</v>
      </c>
      <c r="C146" s="4" t="str">
        <f t="shared" si="27"/>
        <v>Commentary, Peer-reviewed publication</v>
      </c>
      <c r="D146" s="4" t="str">
        <f t="shared" si="28"/>
        <v>Bundibugyo</v>
      </c>
      <c r="E146" s="4" t="str">
        <f t="shared" si="29"/>
        <v>Yes</v>
      </c>
      <c r="F146" s="4" t="str">
        <f t="shared" si="30"/>
        <v/>
      </c>
      <c r="G146" s="4" t="str">
        <f t="shared" si="31"/>
        <v/>
      </c>
      <c r="H146" s="4" t="str">
        <f t="shared" si="32"/>
        <v/>
      </c>
      <c r="I146" s="4" t="str">
        <f t="shared" si="33"/>
        <v/>
      </c>
      <c r="J146" s="5" t="str">
        <f t="shared" si="34"/>
        <v/>
      </c>
      <c r="K146" s="5" t="str">
        <f t="shared" si="35"/>
        <v/>
      </c>
      <c r="N146" s="2" t="str">
        <f t="shared" si="36"/>
        <v>https://doi.org/10.1016/s0140-6736(26)01285-7</v>
      </c>
      <c r="O146" s="20">
        <v>540</v>
      </c>
      <c r="P146" s="20" t="s">
        <v>1047</v>
      </c>
      <c r="Q146" s="20" t="s">
        <v>1048</v>
      </c>
      <c r="R146" s="20" t="s">
        <v>1049</v>
      </c>
      <c r="S146" s="20" t="s">
        <v>1050</v>
      </c>
      <c r="T146" s="20" t="s">
        <v>266</v>
      </c>
      <c r="U146" s="2"/>
      <c r="V146" s="20">
        <v>2</v>
      </c>
      <c r="W146" s="2"/>
      <c r="X146" s="20" t="s">
        <v>1051</v>
      </c>
      <c r="Y146" s="2"/>
      <c r="Z146" s="20" t="s">
        <v>21</v>
      </c>
      <c r="AA146" s="2"/>
      <c r="AB146" s="2"/>
      <c r="AC146" s="2"/>
      <c r="AD146" s="20" t="s">
        <v>352</v>
      </c>
      <c r="AE146" s="2"/>
      <c r="AF146" s="20" t="s">
        <v>270</v>
      </c>
      <c r="AG146" s="2"/>
      <c r="AH146" s="2"/>
      <c r="AI146" s="20" t="s">
        <v>271</v>
      </c>
      <c r="AJ146" s="2"/>
      <c r="AK146" s="20" t="s">
        <v>425</v>
      </c>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row>
    <row r="147" spans="1:297" ht="60" customHeight="1" x14ac:dyDescent="0.25">
      <c r="A147" s="5" t="str">
        <f t="shared" si="25"/>
        <v>Joseph, et al, (2026), Obstetrics and gynecology</v>
      </c>
      <c r="B147" s="3" t="str">
        <f t="shared" si="26"/>
        <v>Ebola Virus in Pregnancy</v>
      </c>
      <c r="C147" s="4" t="str">
        <f t="shared" si="27"/>
        <v>Lit review, Peer-reviewed publication</v>
      </c>
      <c r="D147" s="4" t="str">
        <f t="shared" si="28"/>
        <v>Bundibugyo</v>
      </c>
      <c r="E147" s="4" t="str">
        <f t="shared" si="29"/>
        <v>Yes</v>
      </c>
      <c r="F147" s="4" t="str">
        <f t="shared" si="30"/>
        <v/>
      </c>
      <c r="G147" s="4" t="str">
        <f t="shared" si="31"/>
        <v/>
      </c>
      <c r="H147" s="4" t="str">
        <f t="shared" si="32"/>
        <v/>
      </c>
      <c r="I147" s="4" t="str">
        <f t="shared" si="33"/>
        <v/>
      </c>
      <c r="J147" s="5" t="str">
        <f t="shared" si="34"/>
        <v/>
      </c>
      <c r="K147" s="5" t="str">
        <f t="shared" si="35"/>
        <v/>
      </c>
      <c r="N147" s="2" t="str">
        <f t="shared" si="36"/>
        <v>https://doi.org/10.1097/aog.0000000000006382</v>
      </c>
      <c r="O147" s="20">
        <v>541</v>
      </c>
      <c r="P147" s="20" t="s">
        <v>1052</v>
      </c>
      <c r="Q147" s="20" t="s">
        <v>1053</v>
      </c>
      <c r="R147" s="20" t="s">
        <v>1054</v>
      </c>
      <c r="S147" s="20" t="s">
        <v>1055</v>
      </c>
      <c r="T147" s="20" t="s">
        <v>266</v>
      </c>
      <c r="U147" s="2"/>
      <c r="V147" s="20">
        <v>2</v>
      </c>
      <c r="W147" s="2"/>
      <c r="X147" s="20" t="s">
        <v>1056</v>
      </c>
      <c r="Y147" s="2"/>
      <c r="Z147" s="20" t="s">
        <v>21</v>
      </c>
      <c r="AA147" s="2"/>
      <c r="AB147" s="2"/>
      <c r="AC147" s="2"/>
      <c r="AD147" s="20" t="s">
        <v>352</v>
      </c>
      <c r="AE147" s="2"/>
      <c r="AF147" s="20" t="s">
        <v>270</v>
      </c>
      <c r="AG147" s="2"/>
      <c r="AH147" s="2"/>
      <c r="AI147" s="20" t="s">
        <v>271</v>
      </c>
      <c r="AJ147" s="2"/>
      <c r="AK147" s="20" t="s">
        <v>346</v>
      </c>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row>
    <row r="148" spans="1:297" ht="60" customHeight="1" x14ac:dyDescent="0.25">
      <c r="A148" s="5" t="str">
        <f t="shared" si="25"/>
        <v xml:space="preserve">Gribble, et al, (2026) </v>
      </c>
      <c r="B148" s="3" t="str">
        <f t="shared" si="26"/>
        <v>Ebola disease (Bundibugyo) virus outbreak: time to take action to protect pregnant and breastfeeding women through research</v>
      </c>
      <c r="C148" s="4" t="str">
        <f t="shared" si="27"/>
        <v>Commentary, Preprint</v>
      </c>
      <c r="D148" s="4" t="str">
        <f t="shared" si="28"/>
        <v>Bundibugyo</v>
      </c>
      <c r="E148" s="4" t="str">
        <f t="shared" si="29"/>
        <v>Yes</v>
      </c>
      <c r="F148" s="4" t="str">
        <f t="shared" si="30"/>
        <v/>
      </c>
      <c r="G148" s="4" t="str">
        <f t="shared" si="31"/>
        <v/>
      </c>
      <c r="H148" s="4" t="str">
        <f t="shared" si="32"/>
        <v/>
      </c>
      <c r="I148" s="4" t="str">
        <f t="shared" si="33"/>
        <v/>
      </c>
      <c r="J148" s="5" t="str">
        <f t="shared" si="34"/>
        <v/>
      </c>
      <c r="K148" s="5" t="str">
        <f t="shared" si="35"/>
        <v/>
      </c>
      <c r="N148" s="2" t="str">
        <f t="shared" si="36"/>
        <v>https://doi.org/10.22541/authorea.15005515/v1</v>
      </c>
      <c r="O148" s="20">
        <v>543</v>
      </c>
      <c r="P148" s="20" t="s">
        <v>1390</v>
      </c>
      <c r="Q148" s="20" t="s">
        <v>1057</v>
      </c>
      <c r="R148" s="20" t="s">
        <v>1058</v>
      </c>
      <c r="S148" s="20" t="s">
        <v>1059</v>
      </c>
      <c r="T148" s="20" t="s">
        <v>266</v>
      </c>
      <c r="U148" s="2"/>
      <c r="V148" s="20">
        <v>2</v>
      </c>
      <c r="W148" s="2"/>
      <c r="X148" s="20" t="s">
        <v>1060</v>
      </c>
      <c r="Y148" s="2"/>
      <c r="Z148" s="20" t="s">
        <v>21</v>
      </c>
      <c r="AA148" s="2"/>
      <c r="AB148" s="2"/>
      <c r="AC148" s="2"/>
      <c r="AD148" s="20" t="s">
        <v>352</v>
      </c>
      <c r="AE148" s="2"/>
      <c r="AF148" s="20" t="s">
        <v>270</v>
      </c>
      <c r="AG148" s="2"/>
      <c r="AH148" s="2"/>
      <c r="AI148" s="20" t="s">
        <v>353</v>
      </c>
      <c r="AJ148" s="2"/>
      <c r="AK148" s="20" t="s">
        <v>425</v>
      </c>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row>
    <row r="149" spans="1:297" ht="60" customHeight="1" x14ac:dyDescent="0.25">
      <c r="A149" s="5" t="str">
        <f t="shared" si="25"/>
        <v xml:space="preserve">Akem, et al, (2026) </v>
      </c>
      <c r="B149" s="3" t="str">
        <f t="shared" si="26"/>
        <v>Detected case growth and outcome heterogeneity during the 2026 Bundibugyo virus disease outbreak in the Democratic Republic of the Congo and Uganda</v>
      </c>
      <c r="C149" s="4" t="str">
        <f t="shared" si="27"/>
        <v>Primary - article, Observational, Preprint</v>
      </c>
      <c r="D149" s="4" t="str">
        <f t="shared" si="28"/>
        <v>Bundibugyo</v>
      </c>
      <c r="E149" s="4" t="str">
        <f t="shared" si="29"/>
        <v>Yes</v>
      </c>
      <c r="F149" s="4" t="str">
        <f t="shared" si="30"/>
        <v>This study assessed how source-traced official aggregate data could support real-time interpretation of detected case growth, outcome heterogeneity, and response bottlenecks and found 689 laboratory-confirmed cases in the DRC and 139 confirmed deaths across 29 health zones, corresponding to a crude observed CFR of 20.2% (95% CI 17.2–23.4%); Ituri accounted for 646 confirmed cases (93.8%); Uganda separately recorded 19 confirmed cases and two confirmed deaths. Interpretable seven-day phases yielded similar doubling times of 10.5 days for 21–27 May and 10.3 days for 4–10 June.</v>
      </c>
      <c r="G149" s="4" t="str">
        <f t="shared" si="31"/>
        <v>Other Epi; Mortality</v>
      </c>
      <c r="H149" s="4" t="str">
        <f t="shared" si="32"/>
        <v>Human - General population</v>
      </c>
      <c r="I149" s="4" t="str">
        <f t="shared" si="33"/>
        <v/>
      </c>
      <c r="J149" s="5" t="str">
        <f t="shared" si="34"/>
        <v>Epidemiological Parameter - Other: Among the interpretable phases, Phase 2 yielded a detected daily growth rate of 0.066 per day, corresponding to a doubling time of 10.5 days (R² = 0.961). Phase 3 yielded a higher apparent growth rate of 0.094 per day, corresponding to a doubling time of 7.4 days (R² = 0.935). Phase 4 yielded a growth rate of 0.067 per day and a doubling time of 10.3 days (R² = 0.998), closely approximating the Phase 2 estimate. Across the full study period, the detected growth rate was 0.150 per day, corresponding to a doubling time of 4.6 days (R² = 0.906). A sensitivity analysis excluding harmonisation-sensitive or retroactive records and the multi-day increment yielded a similar estimate of 0.154 per day, corresponding to a doubling time of 4.5 days (R² = 0.911). 
Clinical Data - Mortality: The crude observed CFR increased from 9.9% (95% CI 4.9–17.5%) on 23 May, when 101 confirmed cases and 10 confirmed deaths had been recorded, to 20.2% (95% CI 17.2–23.4%) at the study cut-off. At the latest database update on 10 June, Uganda had recorded 19 confirmed cases, two confirmed deaths, five recoveries, and 409 active contacts under follow-up. The national DRC crude observed CFR increased from 9.9% (95% CI 4.9–17.5%) on 23 May 2026 to 20.2% (95% CI 17.2–23.4%) at the study cut-off, corresponding to 139 deaths among 689 confirmed cases. Because 75.2% of confirmed cases still had unresolved outcomes at the cut-off, these values should be interpreted as crude observed, time-point-specific proportions rather than final case fatality risk. Crude observed CFR differed markedly between Ituri and North Kivu. At the study cut-off, Ituri reported 17.6% (114/646; 95% CI 14.8–20.8%), while North Kivu reported 60.0% (24/40; 95% CI 43.3–75.1%), a difference of 42.4 percentage points. . At the study cut-off, Bunia reported 8.9% (17/191; 95% CI 5.3–13.9%), Rwampara 18.3% (26/142; 95% CI 12.325.7%), Mongbwalu 38.2% (52/136; 95% CI 30.0–47.0%), and Nyankunde 3.0% (1/33; 95% CI 0.1–15.8%)</v>
      </c>
      <c r="K149" s="5" t="str">
        <f t="shared" si="35"/>
        <v>Authors conducted a retrospective aggregate time-series and subnational ecological analysis of official situation reports and public health updates. The DRC analysis used national, provincial, and health-zone data from Situation Report 001 through Situation Report 028; Uganda was analysed separately as a companion series. Outcomes included epidemic trajectory, detected case-growth signals, crude observed case fatality ratios (CFR), and selected operational indicators. Growth estimates were interpreted as detected case-growth signals, not direct estimates of true transmission intensity.</v>
      </c>
      <c r="N149" s="2" t="str">
        <f t="shared" si="36"/>
        <v>https://doi.org/10.21203/rs.3.rs-10090145/v1</v>
      </c>
      <c r="O149" s="20">
        <v>545</v>
      </c>
      <c r="P149" s="20" t="s">
        <v>1391</v>
      </c>
      <c r="Q149" s="20" t="s">
        <v>1061</v>
      </c>
      <c r="R149" s="20" t="s">
        <v>1062</v>
      </c>
      <c r="S149" s="20" t="s">
        <v>1063</v>
      </c>
      <c r="T149" s="20" t="s">
        <v>266</v>
      </c>
      <c r="U149" s="2"/>
      <c r="V149" s="20" t="s">
        <v>267</v>
      </c>
      <c r="W149" s="2"/>
      <c r="X149" s="20" t="s">
        <v>1064</v>
      </c>
      <c r="Y149" s="2"/>
      <c r="Z149" s="20" t="s">
        <v>21</v>
      </c>
      <c r="AA149" s="2"/>
      <c r="AB149" s="2"/>
      <c r="AC149" s="2"/>
      <c r="AD149" s="20" t="s">
        <v>352</v>
      </c>
      <c r="AE149" s="2"/>
      <c r="AF149" s="20" t="s">
        <v>270</v>
      </c>
      <c r="AG149" s="2"/>
      <c r="AH149" s="2"/>
      <c r="AI149" s="20" t="s">
        <v>353</v>
      </c>
      <c r="AJ149" s="2"/>
      <c r="AK149" s="20" t="s">
        <v>272</v>
      </c>
      <c r="AL149" s="2"/>
      <c r="AM149" s="2"/>
      <c r="AN149" s="2"/>
      <c r="AO149" s="2"/>
      <c r="AP149" s="20" t="s">
        <v>1065</v>
      </c>
      <c r="AQ149" s="2"/>
      <c r="AR149" s="20" t="s">
        <v>37</v>
      </c>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0" t="s">
        <v>75</v>
      </c>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0" t="s">
        <v>73</v>
      </c>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0" t="s">
        <v>139</v>
      </c>
      <c r="EU149" s="2"/>
      <c r="EV149" s="2"/>
      <c r="EW149" s="2"/>
      <c r="EX149" s="2"/>
      <c r="EY149" s="2"/>
      <c r="EZ149" s="2"/>
      <c r="FA149" s="2"/>
      <c r="FB149" s="2"/>
      <c r="FC149" s="2"/>
      <c r="FD149" s="2"/>
      <c r="FE149" s="2"/>
      <c r="FF149" s="20" t="s">
        <v>149</v>
      </c>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0" t="s">
        <v>73</v>
      </c>
      <c r="GG149" s="2"/>
      <c r="GH149" s="2"/>
      <c r="GI149" s="2"/>
      <c r="GJ149" s="2"/>
      <c r="GK149" s="2"/>
      <c r="GL149" s="2"/>
      <c r="GM149" s="2"/>
      <c r="GN149" s="2"/>
      <c r="GO149" s="2"/>
      <c r="GP149" s="20" t="s">
        <v>73</v>
      </c>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0" t="s">
        <v>73</v>
      </c>
      <c r="HS149" s="2"/>
      <c r="HT149" s="2"/>
      <c r="HU149" s="2"/>
      <c r="HV149" s="2"/>
      <c r="HW149" s="2"/>
      <c r="HX149" s="2"/>
      <c r="HY149" s="2"/>
      <c r="HZ149" s="2"/>
      <c r="IA149" s="2"/>
      <c r="IB149" s="20" t="s">
        <v>73</v>
      </c>
      <c r="IC149" s="2"/>
      <c r="ID149" s="2"/>
      <c r="IE149" s="2"/>
      <c r="IF149" s="2"/>
      <c r="IG149" s="2"/>
      <c r="IH149" s="2"/>
      <c r="II149" s="2"/>
      <c r="IJ149" s="20" t="s">
        <v>73</v>
      </c>
      <c r="IK149" s="2"/>
      <c r="IL149" s="2"/>
      <c r="IM149" s="2"/>
      <c r="IN149" s="2"/>
      <c r="IO149" s="2"/>
      <c r="IP149" s="2"/>
      <c r="IQ149" s="2"/>
      <c r="IR149" s="2"/>
      <c r="IS149" s="2"/>
      <c r="IT149" s="20" t="s">
        <v>73</v>
      </c>
      <c r="IU149" s="2"/>
      <c r="IV149" s="2"/>
      <c r="IW149" s="2"/>
      <c r="IX149" s="20" t="s">
        <v>73</v>
      </c>
      <c r="IY149" s="2"/>
      <c r="IZ149" s="2"/>
      <c r="JA149" s="2"/>
      <c r="JB149" s="20" t="s">
        <v>73</v>
      </c>
      <c r="JC149" s="2"/>
      <c r="JD149" s="2"/>
      <c r="JE149" s="2"/>
      <c r="JF149" s="20" t="s">
        <v>73</v>
      </c>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0" t="s">
        <v>73</v>
      </c>
      <c r="KG149" s="2"/>
      <c r="KH149" s="20" t="s">
        <v>1066</v>
      </c>
      <c r="KI149" s="2"/>
      <c r="KJ149" s="20" t="s">
        <v>1067</v>
      </c>
      <c r="KK149" s="2"/>
    </row>
    <row r="150" spans="1:297" ht="60" customHeight="1" x14ac:dyDescent="0.25">
      <c r="A150" s="5" t="str">
        <f t="shared" si="25"/>
        <v>Parums, et al, (2026), Medical science monitor : international medical journal of experimental and clinical research</v>
      </c>
      <c r="B150" s="3" t="str">
        <f t="shared" si="26"/>
        <v>Editorial: The WHO Identifies Ebola Disease Due to Bundibugyo Virus as a Public Health Emergency of International Concern (PHEIC) as Vaccine Development Accelerates</v>
      </c>
      <c r="C150" s="4" t="str">
        <f t="shared" si="27"/>
        <v>Commentary, Peer-reviewed publication</v>
      </c>
      <c r="D150" s="4" t="str">
        <f t="shared" si="28"/>
        <v>Bundibugyo</v>
      </c>
      <c r="E150" s="4" t="str">
        <f t="shared" si="29"/>
        <v>Yes</v>
      </c>
      <c r="F150" s="4" t="str">
        <f t="shared" si="30"/>
        <v/>
      </c>
      <c r="G150" s="4" t="str">
        <f t="shared" si="31"/>
        <v/>
      </c>
      <c r="H150" s="4" t="str">
        <f t="shared" si="32"/>
        <v/>
      </c>
      <c r="I150" s="4" t="str">
        <f t="shared" si="33"/>
        <v/>
      </c>
      <c r="J150" s="5" t="str">
        <f t="shared" si="34"/>
        <v/>
      </c>
      <c r="K150" s="5" t="str">
        <f t="shared" si="35"/>
        <v/>
      </c>
      <c r="N150" s="2" t="str">
        <f t="shared" si="36"/>
        <v>https://doi.org/10.12659/msm.954627</v>
      </c>
      <c r="O150" s="20">
        <v>546</v>
      </c>
      <c r="P150" s="20" t="s">
        <v>1068</v>
      </c>
      <c r="Q150" s="20" t="s">
        <v>1069</v>
      </c>
      <c r="R150" s="20" t="s">
        <v>1070</v>
      </c>
      <c r="S150" s="20" t="s">
        <v>1071</v>
      </c>
      <c r="T150" s="20" t="s">
        <v>266</v>
      </c>
      <c r="U150" s="2"/>
      <c r="V150" s="20">
        <v>2</v>
      </c>
      <c r="W150" s="2"/>
      <c r="X150" s="20" t="s">
        <v>1072</v>
      </c>
      <c r="Y150" s="2"/>
      <c r="Z150" s="20" t="s">
        <v>21</v>
      </c>
      <c r="AA150" s="2"/>
      <c r="AB150" s="2"/>
      <c r="AC150" s="2"/>
      <c r="AD150" s="20" t="s">
        <v>352</v>
      </c>
      <c r="AE150" s="2"/>
      <c r="AF150" s="20" t="s">
        <v>270</v>
      </c>
      <c r="AG150" s="2"/>
      <c r="AH150" s="2"/>
      <c r="AI150" s="20" t="s">
        <v>271</v>
      </c>
      <c r="AJ150" s="2"/>
      <c r="AK150" s="20" t="s">
        <v>425</v>
      </c>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row>
    <row r="151" spans="1:297" ht="60" customHeight="1" x14ac:dyDescent="0.25">
      <c r="A151" s="5" t="str">
        <f t="shared" si="25"/>
        <v>Pereira, et al, (2026), American journal of transplantation : official journal of the American Society of Transplantation and the American Society of Transplant Surgeons</v>
      </c>
      <c r="B151" s="3" t="str">
        <f t="shared" si="26"/>
        <v>Ebola disease caused by Bundibugyo virus, Democratic Republic of the Congo &amp; Uganda</v>
      </c>
      <c r="C151" s="4" t="str">
        <f t="shared" si="27"/>
        <v>Commentary, Peer-reviewed publication</v>
      </c>
      <c r="D151" s="4" t="str">
        <f t="shared" si="28"/>
        <v>Bundibugyo</v>
      </c>
      <c r="E151" s="4" t="str">
        <f t="shared" si="29"/>
        <v>Yes</v>
      </c>
      <c r="F151" s="4" t="str">
        <f t="shared" si="30"/>
        <v/>
      </c>
      <c r="G151" s="4" t="str">
        <f t="shared" si="31"/>
        <v/>
      </c>
      <c r="H151" s="4" t="str">
        <f t="shared" si="32"/>
        <v/>
      </c>
      <c r="I151" s="4" t="str">
        <f t="shared" si="33"/>
        <v/>
      </c>
      <c r="J151" s="5" t="str">
        <f t="shared" si="34"/>
        <v/>
      </c>
      <c r="K151" s="5" t="str">
        <f t="shared" si="35"/>
        <v/>
      </c>
      <c r="N151" s="2" t="str">
        <f t="shared" si="36"/>
        <v>https://doi.org/10.1016/j.ajt.2026.07.001</v>
      </c>
      <c r="O151" s="20">
        <v>561</v>
      </c>
      <c r="P151" s="20" t="s">
        <v>1073</v>
      </c>
      <c r="Q151" s="20" t="s">
        <v>1074</v>
      </c>
      <c r="R151" s="20" t="s">
        <v>1075</v>
      </c>
      <c r="S151" s="20" t="s">
        <v>1076</v>
      </c>
      <c r="T151" s="20" t="s">
        <v>266</v>
      </c>
      <c r="U151" s="2"/>
      <c r="V151" s="20">
        <v>2</v>
      </c>
      <c r="W151" s="2"/>
      <c r="X151" s="20" t="s">
        <v>1077</v>
      </c>
      <c r="Y151" s="2"/>
      <c r="Z151" s="20" t="s">
        <v>21</v>
      </c>
      <c r="AA151" s="2"/>
      <c r="AB151" s="2"/>
      <c r="AC151" s="2"/>
      <c r="AD151" s="20" t="s">
        <v>352</v>
      </c>
      <c r="AE151" s="2"/>
      <c r="AF151" s="20" t="s">
        <v>270</v>
      </c>
      <c r="AG151" s="2"/>
      <c r="AH151" s="2"/>
      <c r="AI151" s="20" t="s">
        <v>271</v>
      </c>
      <c r="AJ151" s="2"/>
      <c r="AK151" s="20" t="s">
        <v>425</v>
      </c>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row>
    <row r="152" spans="1:297" ht="60" customHeight="1" x14ac:dyDescent="0.25">
      <c r="A152" s="5" t="str">
        <f t="shared" si="25"/>
        <v>Tague, et al, (2026), Tropical medicine and health</v>
      </c>
      <c r="B152" s="3" t="str">
        <f t="shared" si="26"/>
        <v>Bundibugyo virus detection during an Ebola virus disease outbreak in the democratic Republic of the Congo: an urgent call for action</v>
      </c>
      <c r="C152" s="4" t="str">
        <f t="shared" si="27"/>
        <v>Commentary, Peer-reviewed publication</v>
      </c>
      <c r="D152" s="4" t="str">
        <f t="shared" si="28"/>
        <v>Bundibugyo</v>
      </c>
      <c r="E152" s="4" t="str">
        <f t="shared" si="29"/>
        <v>Yes</v>
      </c>
      <c r="F152" s="4" t="str">
        <f t="shared" si="30"/>
        <v/>
      </c>
      <c r="G152" s="4" t="str">
        <f t="shared" si="31"/>
        <v/>
      </c>
      <c r="H152" s="4" t="str">
        <f t="shared" si="32"/>
        <v/>
      </c>
      <c r="I152" s="4" t="str">
        <f t="shared" si="33"/>
        <v/>
      </c>
      <c r="J152" s="5" t="str">
        <f t="shared" si="34"/>
        <v/>
      </c>
      <c r="K152" s="5" t="str">
        <f t="shared" si="35"/>
        <v/>
      </c>
      <c r="N152" s="2" t="str">
        <f t="shared" si="36"/>
        <v>https://doi.org/10.1186/s41182-026-01015-4</v>
      </c>
      <c r="O152" s="20">
        <v>568</v>
      </c>
      <c r="P152" s="20" t="s">
        <v>1078</v>
      </c>
      <c r="Q152" s="20" t="s">
        <v>1079</v>
      </c>
      <c r="R152" s="20" t="s">
        <v>1080</v>
      </c>
      <c r="S152" s="20" t="s">
        <v>1081</v>
      </c>
      <c r="T152" s="20" t="s">
        <v>266</v>
      </c>
      <c r="U152" s="2"/>
      <c r="V152" s="20">
        <v>2</v>
      </c>
      <c r="W152" s="2"/>
      <c r="X152" s="20" t="s">
        <v>1082</v>
      </c>
      <c r="Y152" s="2"/>
      <c r="Z152" s="20" t="s">
        <v>21</v>
      </c>
      <c r="AA152" s="2"/>
      <c r="AB152" s="2"/>
      <c r="AC152" s="2"/>
      <c r="AD152" s="20" t="s">
        <v>352</v>
      </c>
      <c r="AE152" s="2"/>
      <c r="AF152" s="20" t="s">
        <v>270</v>
      </c>
      <c r="AG152" s="2"/>
      <c r="AH152" s="2"/>
      <c r="AI152" s="20" t="s">
        <v>271</v>
      </c>
      <c r="AJ152" s="2"/>
      <c r="AK152" s="20" t="s">
        <v>425</v>
      </c>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row>
    <row r="153" spans="1:297" ht="60" customHeight="1" x14ac:dyDescent="0.25">
      <c r="A153" s="5" t="str">
        <f t="shared" si="25"/>
        <v xml:space="preserve">Stapley, et al, (2026) </v>
      </c>
      <c r="B153" s="3" t="str">
        <f t="shared" si="26"/>
        <v>Evaluating the impact of antiviral post-exposure prophylaxis for health-care workers during ebolavirus outbreaks: a modelling study</v>
      </c>
      <c r="C153" s="4" t="str">
        <f t="shared" si="27"/>
        <v>Primary - article, Modeling, Preprint</v>
      </c>
      <c r="D153" s="4" t="str">
        <f t="shared" si="28"/>
        <v>Bundibugyo</v>
      </c>
      <c r="E153" s="4" t="str">
        <f t="shared" si="29"/>
        <v>Yes</v>
      </c>
      <c r="F153" s="4" t="str">
        <f t="shared" si="30"/>
        <v>This modelling study estimated the impact of HCW-targeted antiviral post-exposure prophylaxis (PEP) across varying assumed antiviral efficacy, deployment readiness, coverage, and allocation policy and across a high-burden “West Africa-like” scenario and a “DRC-like” scenario with conflict-disrupted response. They found that at 80% efficacy and 80% coverage, PEP averted approximately 64% of HCW deaths across both archetypes. Under low readiness, where clinical evaluation and access expansion occurred during the outbreak and coverage reached only 50% over one year, reductions fell to 19% and 22% in  "West Africa-like" and  "DRC-like" archetypes. In disruption scenarios, delayed dose receipt reduced HCW deaths averted from 83% to 50%; combined dosing delay and coverage loss retained only 35% of achievable impact, suggesting HCW-targeted antiviral PEP could reduce occupational mortality and preserve clinical capacity during ebolavirus epidemics where vaccines are unavailable.</v>
      </c>
      <c r="G153" s="4" t="str">
        <f t="shared" si="31"/>
        <v>Size or Duration estimate; Mortality; Prophylaxis</v>
      </c>
      <c r="H153" s="4" t="str">
        <f t="shared" si="32"/>
        <v>Human - General population</v>
      </c>
      <c r="I153" s="4" t="str">
        <f t="shared" si="33"/>
        <v/>
      </c>
      <c r="J153" s="5" t="str">
        <f t="shared" si="34"/>
        <v>Clinical Data - Mortality:  In the no-PEP baseline, cumulative HCW deaths reached a median of 553 (interquartile range (IQR): 208-983) in the West Africa-like archetype by week 60, compared with 61 (IQR: 19-125) in the DRC-like archetype by week 80. Assuming 80% efficacy and 80% coverage with PEP, cumulative HCW deaths fell to 200 (IQR: 68-349) and 22 (IQR: 10-44) in the West Africa-like and DRC-like archetypes, respectively.  Under Scenario 1 (high readiness, pre-positioned stockpiles) , the number of HCW deaths averted increased with antiviral efficacy; at 80% efficacy, median reductions reached 80% (95% CrI: 79–81%) in the West Africa-like archetype and 80% (95% CrI: 76–84%) in the DRC-like archetype.  In a scenario in which PEP was delivered at high coverage with no post-exposure delay (the maximum achievable impact), HCW-targeted PEP averted 83% (95% CrI: 79–87%) of HCW deaths. Introducing delayed dosing while preserving coverage reduced this to 50% (95% CrI: 40–55%) of HCW deaths averted, corresponding to only 61% (95% CrI: 49–68%) of the achievable impact retained. At stockpiles of 30,000 doses in the West Africa-like archetype and 2,500 doses in the DRC-like archetype, prompt delivery averted 466 and 29 HCW deaths, respectively. Delaying the first dose to 5 days post-exposure reduced these benefits by 164 and 10 deaths, respectively.
Prophylaxis (pre or post exposure): 
Diverse outbreak Archetypes: In the no-PEP baseline, cumulative HCW deaths reached a median of 553 (interquartile range (IQR): 208-983) in the West Africa-like archetype by week 60, compared with 61 (IQR: 19-125) in the DRC-like archetype by week 80. Assuming 80% efficacy and 80% coverage with PEP, cumulative HCW deaths fell to 200 (IQR: 68-349) and 22 (IQR: 10-44) in the West Africa-like and DRC-like archetypes, respectively, equivalent to reductions of 64% (IQR: 63-66%) and 64% (IQR: 60-68%), respectively, relative to baseline. 
Delayed antiviral availability reduced overall PEP impact on HCW burden: Authors examined how deployment readiness and antiviral availability speed influenced PEP impact across three coverage scenarios. Under immediate full coverage (Scenario 1), an 80%-efficacious antiviral reduced HCW deaths by 80% in both West Africa-like and DRC-like archetypes, while gradual scale-up (Scenario 2) preserved 75% and 66% of this benefit, and delayed scale-up (Scenario 3) yielded only 19% and 22% reductions. These results highlight that PEP’s value depends on both efficacy and deployment readiness, including stockpiling and delivery systems that ensure timely distribution before HCW exposure risk accumulates.
Examining how conflict-associated operational disruption could erode the benefit of an otherwise efficacious antiviral PEP strategy: Authors investigated how conflict-related operational disruptions—such as reduced coverage and delayed dosing diminished the effectiveness of antiviral PEP in a DRC-like scenario. With high coverage and no dosing delay, PEP averted 83% of HCW deaths, but delayed dosing alone reduced this to 50%, retaining only 61% of the achievable impact. When combined with coverage loss, the impact further eroded, with disrupted delivery scenarios realizing only 28–36% of achievable HCW deaths averted under varying delay–efficacy assumptions, underscoring the critical need for rapid treatment initiation during disruptions</v>
      </c>
      <c r="K153" s="5" t="str">
        <f t="shared" si="35"/>
        <v>Authors used a stochastic branching-process model to simulate ebolavirus transmission, classifying infections in the general population or HCWs and allowing transmission in community, health-care, or funeral settings. The model was calibrated to two historical outbreaks (West Africa 2013–2016 and DRC 2018–2020) and used to simulate paired outbreaks with and without PEP, varying efficacy, coverage, deployment readiness, dosing timeliness, and allocation policy. Three deployment readiness scenarios and allocation policies (broad vs. targeted) were assessed, with dose efficiency defined as PEP doses per HCW death averted.</v>
      </c>
      <c r="N153" s="2" t="str">
        <f t="shared" si="36"/>
        <v>https://doi.org/10.64898/2026.06.26.26356717</v>
      </c>
      <c r="O153" s="20">
        <v>569</v>
      </c>
      <c r="P153" s="20" t="s">
        <v>1392</v>
      </c>
      <c r="Q153" s="20" t="s">
        <v>1083</v>
      </c>
      <c r="R153" s="20" t="s">
        <v>1084</v>
      </c>
      <c r="S153" s="20" t="s">
        <v>1085</v>
      </c>
      <c r="T153" s="20" t="s">
        <v>266</v>
      </c>
      <c r="U153" s="2"/>
      <c r="V153" s="20" t="s">
        <v>267</v>
      </c>
      <c r="W153" s="2"/>
      <c r="X153" s="20" t="s">
        <v>1086</v>
      </c>
      <c r="Y153" s="2"/>
      <c r="Z153" s="20" t="s">
        <v>21</v>
      </c>
      <c r="AA153" s="2"/>
      <c r="AB153" s="2"/>
      <c r="AC153" s="2"/>
      <c r="AD153" s="20" t="s">
        <v>352</v>
      </c>
      <c r="AE153" s="2"/>
      <c r="AF153" s="20" t="s">
        <v>270</v>
      </c>
      <c r="AG153" s="2"/>
      <c r="AH153" s="2"/>
      <c r="AI153" s="20" t="s">
        <v>353</v>
      </c>
      <c r="AJ153" s="2"/>
      <c r="AK153" s="20" t="s">
        <v>272</v>
      </c>
      <c r="AL153" s="2"/>
      <c r="AM153" s="2"/>
      <c r="AN153" s="2"/>
      <c r="AO153" s="2"/>
      <c r="AP153" s="20" t="s">
        <v>1087</v>
      </c>
      <c r="AQ153" s="2"/>
      <c r="AR153" s="20" t="s">
        <v>37</v>
      </c>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0" t="s">
        <v>83</v>
      </c>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0" t="s">
        <v>73</v>
      </c>
      <c r="DW153" s="2"/>
      <c r="DX153" s="2"/>
      <c r="DY153" s="2"/>
      <c r="DZ153" s="2"/>
      <c r="EA153" s="2"/>
      <c r="EB153" s="2"/>
      <c r="EC153" s="2"/>
      <c r="ED153" s="2"/>
      <c r="EE153" s="2"/>
      <c r="EF153" s="2"/>
      <c r="EG153" s="2"/>
      <c r="EH153" s="2"/>
      <c r="EI153" s="2"/>
      <c r="EJ153" s="2"/>
      <c r="EK153" s="2"/>
      <c r="EL153" s="2"/>
      <c r="EM153" s="2"/>
      <c r="EN153" s="2"/>
      <c r="EO153" s="2"/>
      <c r="EP153" s="20" t="s">
        <v>135</v>
      </c>
      <c r="EQ153" s="2"/>
      <c r="ER153" s="2"/>
      <c r="ES153" s="2"/>
      <c r="ET153" s="2"/>
      <c r="EU153" s="2"/>
      <c r="EV153" s="2"/>
      <c r="EW153" s="2"/>
      <c r="EX153" s="2"/>
      <c r="EY153" s="2"/>
      <c r="EZ153" s="2"/>
      <c r="FA153" s="2"/>
      <c r="FB153" s="2"/>
      <c r="FC153" s="2"/>
      <c r="FD153" s="2"/>
      <c r="FE153" s="2"/>
      <c r="FF153" s="20" t="s">
        <v>149</v>
      </c>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0" t="s">
        <v>73</v>
      </c>
      <c r="GG153" s="2"/>
      <c r="GH153" s="2"/>
      <c r="GI153" s="2"/>
      <c r="GJ153" s="2"/>
      <c r="GK153" s="2"/>
      <c r="GL153" s="2"/>
      <c r="GM153" s="2"/>
      <c r="GN153" s="2"/>
      <c r="GO153" s="2"/>
      <c r="GP153" s="20" t="s">
        <v>73</v>
      </c>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0" t="s">
        <v>73</v>
      </c>
      <c r="HS153" s="2"/>
      <c r="HT153" s="2"/>
      <c r="HU153" s="2"/>
      <c r="HV153" s="20" t="s">
        <v>209</v>
      </c>
      <c r="HW153" s="2"/>
      <c r="HX153" s="2"/>
      <c r="HY153" s="2"/>
      <c r="HZ153" s="2"/>
      <c r="IA153" s="2"/>
      <c r="IB153" s="2"/>
      <c r="IC153" s="2"/>
      <c r="ID153" s="2"/>
      <c r="IE153" s="2"/>
      <c r="IF153" s="2"/>
      <c r="IG153" s="2"/>
      <c r="IH153" s="2"/>
      <c r="II153" s="2"/>
      <c r="IJ153" s="20" t="s">
        <v>73</v>
      </c>
      <c r="IK153" s="2"/>
      <c r="IL153" s="2"/>
      <c r="IM153" s="2"/>
      <c r="IN153" s="2"/>
      <c r="IO153" s="2"/>
      <c r="IP153" s="2"/>
      <c r="IQ153" s="2"/>
      <c r="IR153" s="2"/>
      <c r="IS153" s="2"/>
      <c r="IT153" s="20" t="s">
        <v>73</v>
      </c>
      <c r="IU153" s="2"/>
      <c r="IV153" s="2"/>
      <c r="IW153" s="2"/>
      <c r="IX153" s="20" t="s">
        <v>73</v>
      </c>
      <c r="IY153" s="2"/>
      <c r="IZ153" s="2"/>
      <c r="JA153" s="2"/>
      <c r="JB153" s="20" t="s">
        <v>73</v>
      </c>
      <c r="JC153" s="2"/>
      <c r="JD153" s="2"/>
      <c r="JE153" s="2"/>
      <c r="JF153" s="20" t="s">
        <v>73</v>
      </c>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0" t="s">
        <v>73</v>
      </c>
      <c r="KG153" s="2"/>
      <c r="KH153" s="20" t="s">
        <v>1088</v>
      </c>
      <c r="KI153" s="2"/>
      <c r="KJ153" s="20" t="s">
        <v>1089</v>
      </c>
      <c r="KK153" s="2"/>
    </row>
    <row r="154" spans="1:297" ht="60" customHeight="1" x14ac:dyDescent="0.25">
      <c r="A154" s="5" t="str">
        <f t="shared" si="25"/>
        <v xml:space="preserve">WHO, (2026) </v>
      </c>
      <c r="B154" s="3" t="str">
        <f t="shared" si="26"/>
        <v>WHO adds first diagnostic test for Ebola Bundibugyo virus to its Emergency Use Listing</v>
      </c>
      <c r="C154" s="4" t="str">
        <f t="shared" si="27"/>
        <v>News, Other grey literature report</v>
      </c>
      <c r="D154" s="4" t="str">
        <f t="shared" si="28"/>
        <v>Bundibugyo</v>
      </c>
      <c r="E154" s="4" t="str">
        <f t="shared" si="29"/>
        <v>Yes</v>
      </c>
      <c r="F154" s="4" t="str">
        <f t="shared" si="30"/>
        <v/>
      </c>
      <c r="G154" s="4" t="str">
        <f t="shared" si="31"/>
        <v/>
      </c>
      <c r="H154" s="4" t="str">
        <f t="shared" si="32"/>
        <v/>
      </c>
      <c r="I154" s="4" t="str">
        <f t="shared" si="33"/>
        <v/>
      </c>
      <c r="J154" s="5" t="str">
        <f t="shared" si="34"/>
        <v/>
      </c>
      <c r="K154" s="5" t="str">
        <f t="shared" si="35"/>
        <v/>
      </c>
      <c r="N154" s="2" t="str">
        <f t="shared" si="36"/>
        <v>https://www.who.int/news/item/02-07-2026-who-adds-first-diagnostic-test-for-ebola-bundibugyo-virus-to-its-emergency-use-listing</v>
      </c>
      <c r="O154" s="20">
        <v>573</v>
      </c>
      <c r="P154" s="20" t="s">
        <v>1362</v>
      </c>
      <c r="Q154" s="20" t="s">
        <v>1090</v>
      </c>
      <c r="R154" s="2"/>
      <c r="S154" s="20" t="s">
        <v>1091</v>
      </c>
      <c r="T154" s="20" t="s">
        <v>266</v>
      </c>
      <c r="U154" s="2"/>
      <c r="V154" s="20">
        <v>2</v>
      </c>
      <c r="W154" s="2"/>
      <c r="X154" s="20" t="s">
        <v>1091</v>
      </c>
      <c r="Y154" s="2"/>
      <c r="Z154" s="20" t="s">
        <v>21</v>
      </c>
      <c r="AA154" s="2"/>
      <c r="AB154" s="2"/>
      <c r="AC154" s="2"/>
      <c r="AD154" s="20" t="s">
        <v>352</v>
      </c>
      <c r="AE154" s="2"/>
      <c r="AF154" s="20" t="s">
        <v>270</v>
      </c>
      <c r="AG154" s="2"/>
      <c r="AH154" s="2"/>
      <c r="AI154" s="20" t="s">
        <v>306</v>
      </c>
      <c r="AJ154" s="2"/>
      <c r="AK154" s="20" t="s">
        <v>307</v>
      </c>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row>
    <row r="155" spans="1:297" ht="60" customHeight="1" x14ac:dyDescent="0.25">
      <c r="A155" s="5" t="str">
        <f t="shared" si="25"/>
        <v xml:space="preserve">Epistorm · Northeastern University&amp;nbsp, et al, () </v>
      </c>
      <c r="B155" s="3" t="str">
        <f t="shared" si="26"/>
        <v>Ebola Bundibugyo Virus — DRC · Spread Risk Assessment #3 · International Dissemination</v>
      </c>
      <c r="C155" s="4" t="str">
        <f t="shared" si="27"/>
        <v>Primary - article, Modeling, Other grey literature report</v>
      </c>
      <c r="D155" s="4" t="str">
        <f t="shared" si="28"/>
        <v>Bundibugyo</v>
      </c>
      <c r="E155" s="4" t="str">
        <f t="shared" si="29"/>
        <v>Yes</v>
      </c>
      <c r="F155" s="4" t="str">
        <f t="shared" si="30"/>
        <v>This study assessed the the relative importation risk rankings of 197 international destinations. Conditional international risk is concentrated in East Africa (69%), driven by Rwanda, Tanzania, and Kenya, with a Middle East hub effect (15%, led by Dubai) and a long tail extending to Europe (7.3%), Asia (5.9%), the Americas (2.0%), and other regions (&lt;1%).</v>
      </c>
      <c r="G155" s="4" t="str">
        <f t="shared" si="31"/>
        <v>Size or Duration estimate</v>
      </c>
      <c r="H155" s="4" t="str">
        <f t="shared" si="32"/>
        <v>Human - General population</v>
      </c>
      <c r="I155" s="4" t="str">
        <f t="shared" si="33"/>
        <v/>
      </c>
      <c r="J155" s="5" t="str">
        <f t="shared" si="34"/>
        <v>Epidemiological Parameter - Estimates of outbreak size or duration: Rwanda (23.5%), Tanzania (15.5%), and Kenya (14.8%) together account for roughly 54% of the conditional international risk, with Kigali alone at 17.6%. Dubai (UAE, 10.0%) is the second-ranked single destination after Kigali, reflecting its role as a major intercontinental aviation hub. Saudi Arabia (3.2%) and Qatar (0.9%) follow. Beyond Africa and the Middle East, Europe (7.3%, led by London at 2.7%) and Asia (5.9%, led by Mumbai 1.9%, Guangzhou 0.9%) capture the bulk of remaining conditional risk; the Americas hold roughly 2%.</v>
      </c>
      <c r="K155" s="5" t="str">
        <f t="shared" si="35"/>
        <v>Global air travel data from the International Air Transport Association (IATA) and the Official Airline Guide (OAG), combined with short-scale commuting patterns, inform mobility models within the GLEAM (Global Epidemic and Mobility) computational framework to estimate disease spread. The model calculates relative importation risk for each destination by estimating the probability an infected individual travels there, conditional on exported cases, and normalizes these values to represent shares of importation probability. For surveillance prioritization, the analysis restricts destinations to non-local international locations (excluding immediate cross-border regions), renormalizes the risk distribution across 197 international destinations, and maintains Ituri, North Kivu, and Kampala as source provinces.</v>
      </c>
      <c r="N155" s="2" t="str">
        <f t="shared" si="36"/>
        <v>https://epistorm.github.io/EBV2026/report_03_international.html</v>
      </c>
      <c r="O155" s="20">
        <v>574</v>
      </c>
      <c r="P155" s="20" t="s">
        <v>1393</v>
      </c>
      <c r="Q155" s="20" t="s">
        <v>1092</v>
      </c>
      <c r="R155" s="2"/>
      <c r="S155" s="20" t="s">
        <v>1093</v>
      </c>
      <c r="T155" s="20" t="s">
        <v>266</v>
      </c>
      <c r="U155" s="2"/>
      <c r="V155" s="20" t="s">
        <v>267</v>
      </c>
      <c r="W155" s="2"/>
      <c r="X155" s="20" t="s">
        <v>1093</v>
      </c>
      <c r="Y155" s="2"/>
      <c r="Z155" s="20" t="s">
        <v>21</v>
      </c>
      <c r="AA155" s="2"/>
      <c r="AB155" s="2"/>
      <c r="AC155" s="2"/>
      <c r="AD155" s="20" t="s">
        <v>352</v>
      </c>
      <c r="AE155" s="2"/>
      <c r="AF155" s="20" t="s">
        <v>270</v>
      </c>
      <c r="AG155" s="2"/>
      <c r="AH155" s="2"/>
      <c r="AI155" s="20" t="s">
        <v>306</v>
      </c>
      <c r="AJ155" s="2"/>
      <c r="AK155" s="20" t="s">
        <v>272</v>
      </c>
      <c r="AL155" s="2"/>
      <c r="AM155" s="2"/>
      <c r="AN155" s="2"/>
      <c r="AO155" s="2"/>
      <c r="AP155" s="20" t="s">
        <v>1094</v>
      </c>
      <c r="AQ155" s="2"/>
      <c r="AR155" s="20" t="s">
        <v>37</v>
      </c>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0" t="s">
        <v>83</v>
      </c>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0" t="s">
        <v>73</v>
      </c>
      <c r="DW155" s="2"/>
      <c r="DX155" s="2"/>
      <c r="DY155" s="2"/>
      <c r="DZ155" s="2"/>
      <c r="EA155" s="2"/>
      <c r="EB155" s="2"/>
      <c r="EC155" s="2"/>
      <c r="ED155" s="2"/>
      <c r="EE155" s="2"/>
      <c r="EF155" s="2"/>
      <c r="EG155" s="2"/>
      <c r="EH155" s="2"/>
      <c r="EI155" s="2"/>
      <c r="EJ155" s="2"/>
      <c r="EK155" s="2"/>
      <c r="EL155" s="2"/>
      <c r="EM155" s="2"/>
      <c r="EN155" s="2"/>
      <c r="EO155" s="2"/>
      <c r="EP155" s="20" t="s">
        <v>135</v>
      </c>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0" t="s">
        <v>73</v>
      </c>
      <c r="FS155" s="2"/>
      <c r="FT155" s="2"/>
      <c r="FU155" s="2"/>
      <c r="FV155" s="2"/>
      <c r="FW155" s="2"/>
      <c r="FX155" s="2"/>
      <c r="FY155" s="2"/>
      <c r="FZ155" s="2"/>
      <c r="GA155" s="2"/>
      <c r="GB155" s="2"/>
      <c r="GC155" s="2"/>
      <c r="GD155" s="2"/>
      <c r="GE155" s="2"/>
      <c r="GF155" s="20" t="s">
        <v>73</v>
      </c>
      <c r="GG155" s="2"/>
      <c r="GH155" s="2"/>
      <c r="GI155" s="2"/>
      <c r="GJ155" s="2"/>
      <c r="GK155" s="2"/>
      <c r="GL155" s="2"/>
      <c r="GM155" s="2"/>
      <c r="GN155" s="2"/>
      <c r="GO155" s="2"/>
      <c r="GP155" s="20" t="s">
        <v>73</v>
      </c>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0" t="s">
        <v>73</v>
      </c>
      <c r="HS155" s="2"/>
      <c r="HT155" s="2"/>
      <c r="HU155" s="2"/>
      <c r="HV155" s="2"/>
      <c r="HW155" s="2"/>
      <c r="HX155" s="2"/>
      <c r="HY155" s="2"/>
      <c r="HZ155" s="2"/>
      <c r="IA155" s="2"/>
      <c r="IB155" s="20" t="s">
        <v>73</v>
      </c>
      <c r="IC155" s="2"/>
      <c r="ID155" s="2"/>
      <c r="IE155" s="2"/>
      <c r="IF155" s="2"/>
      <c r="IG155" s="2"/>
      <c r="IH155" s="2"/>
      <c r="II155" s="2"/>
      <c r="IJ155" s="20" t="s">
        <v>73</v>
      </c>
      <c r="IK155" s="2"/>
      <c r="IL155" s="2"/>
      <c r="IM155" s="2"/>
      <c r="IN155" s="2"/>
      <c r="IO155" s="2"/>
      <c r="IP155" s="2"/>
      <c r="IQ155" s="2"/>
      <c r="IR155" s="2"/>
      <c r="IS155" s="2"/>
      <c r="IT155" s="20" t="s">
        <v>73</v>
      </c>
      <c r="IU155" s="2"/>
      <c r="IV155" s="2"/>
      <c r="IW155" s="2"/>
      <c r="IX155" s="20" t="s">
        <v>73</v>
      </c>
      <c r="IY155" s="2"/>
      <c r="IZ155" s="2"/>
      <c r="JA155" s="2"/>
      <c r="JB155" s="20" t="s">
        <v>73</v>
      </c>
      <c r="JC155" s="2"/>
      <c r="JD155" s="2"/>
      <c r="JE155" s="2"/>
      <c r="JF155" s="20" t="s">
        <v>73</v>
      </c>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0" t="s">
        <v>73</v>
      </c>
      <c r="KG155" s="2"/>
      <c r="KH155" s="20" t="s">
        <v>1095</v>
      </c>
      <c r="KI155" s="2"/>
      <c r="KJ155" s="20" t="s">
        <v>1096</v>
      </c>
      <c r="KK155" s="2"/>
    </row>
    <row r="156" spans="1:297" ht="60" customHeight="1" x14ac:dyDescent="0.25">
      <c r="A156" s="5" t="str">
        <f t="shared" si="25"/>
        <v xml:space="preserve">Epistorm · Northeastern University, et al, () </v>
      </c>
      <c r="B156" s="3" t="str">
        <f t="shared" si="26"/>
        <v>Ebola Bundibugyo Virus — DRC · Spread Risk Assessment #4 · International Dissemination</v>
      </c>
      <c r="C156" s="4" t="str">
        <f t="shared" si="27"/>
        <v>Primary - article, Modeling, Other grey literature report</v>
      </c>
      <c r="D156" s="4" t="str">
        <f t="shared" si="28"/>
        <v>Bundibugyo</v>
      </c>
      <c r="E156" s="4" t="str">
        <f t="shared" si="29"/>
        <v>Yes</v>
      </c>
      <c r="F156" s="4" t="str">
        <f t="shared" si="30"/>
        <v>On 2 June 2026, the Bunia International Airport in the centre of the outbreak was reopened to commercial traffic and this study ranks destinations beyond the affected area in 208 international destinations. The authors found African destinations account for 85% of conditional international risk, led by Tanzania (45%), South Sudan (23%), and Kenya (10%), while the intercontinental tail becomes more pronounced, with the Middle East (7.3%), Europe (3.7%), Asia (2.9%), and the Americas (1.3%) capturing smaller shares, reflecting redistributed mobility flows following the Bunia airport reopening.</v>
      </c>
      <c r="G156" s="4" t="str">
        <f t="shared" si="31"/>
        <v>Size or Duration estimate</v>
      </c>
      <c r="H156" s="4" t="str">
        <f t="shared" si="32"/>
        <v>Human - General population</v>
      </c>
      <c r="I156" s="4" t="str">
        <f t="shared" si="33"/>
        <v/>
      </c>
      <c r="J156" s="5" t="str">
        <f t="shared" si="34"/>
        <v>Epidemiological Parameter - Estimates of outbreak size or duration:
With reopened DRC aviation, conditional international risk now concentrates almost entirely within Africa (98%). Tanzania accounts for 45.3% of the conditional international risk (Sumbawanga, Bukoba, Mwanza, Dar Es Salaam), South Sudan for 23.4% (Juba), Kenya for 10.4% (Kisumu, Nairobi, Mombasa), and the UAE for 4.5% (Dubai). Excluding Rwanda and Burundi as regional spillover, African destinations now account for approximately 85% of the conditional international risk, driven principally by Tanzania (45%), South Sudan (23%), and Kenya (10%).  The Middle East accounts for 7.3% (Dubai 4.5% as the dominant single contribution), Europe for 3.7% (led by the United Kingdom, 1.2%), Asia for 2.9% (India and China together ~2.2%), and the Americas for 1.3% (primarily the United States). The shift reflects the activation of domestic and regional aviation following the Bunia airport reopening, which redistributes mobility flow into nearby destinations rather than the long-haul intercontinental routes that previously transited through Kampala.</v>
      </c>
      <c r="K156" s="5" t="str">
        <f t="shared" si="35"/>
        <v>Global air travel data from the International Air Transport Association (IATA) and Official Airline Guide (OAG) provide passenger-level origin-destination flows between international airports, while short-scale commuting patterns capture daily movements between adjacent subpopulations, representing local disease spread. The model estimates relative importation risk for each destination, representing the share of importation probability assigned to that location, conditional on at least one exported case occurring. Following the reopening of Bunia International Airport on 2 June 2026, the analysis incorporates increased domestic and regional mobility, excludes the affected area, other DRC locations, and immediate regional neighbors (Rwanda, Burundi) to focus on non-local international destinations, and renormalizes the risk distribution across 208 international destinations for surveillance prioritization.</v>
      </c>
      <c r="N156" s="2" t="str">
        <f t="shared" si="36"/>
        <v>https://epistorm.github.io/EBV2026/report_04_alt.html</v>
      </c>
      <c r="O156" s="20">
        <v>575</v>
      </c>
      <c r="P156" s="20" t="s">
        <v>1394</v>
      </c>
      <c r="Q156" s="20" t="s">
        <v>1097</v>
      </c>
      <c r="R156" s="2"/>
      <c r="S156" s="20" t="s">
        <v>1098</v>
      </c>
      <c r="T156" s="20" t="s">
        <v>266</v>
      </c>
      <c r="U156" s="2"/>
      <c r="V156" s="20" t="s">
        <v>267</v>
      </c>
      <c r="W156" s="2"/>
      <c r="X156" s="20" t="s">
        <v>1098</v>
      </c>
      <c r="Y156" s="2"/>
      <c r="Z156" s="20" t="s">
        <v>21</v>
      </c>
      <c r="AA156" s="2"/>
      <c r="AB156" s="2"/>
      <c r="AC156" s="2"/>
      <c r="AD156" s="20" t="s">
        <v>352</v>
      </c>
      <c r="AE156" s="2"/>
      <c r="AF156" s="20" t="s">
        <v>270</v>
      </c>
      <c r="AG156" s="2"/>
      <c r="AH156" s="2"/>
      <c r="AI156" s="20" t="s">
        <v>306</v>
      </c>
      <c r="AJ156" s="2"/>
      <c r="AK156" s="20" t="s">
        <v>272</v>
      </c>
      <c r="AL156" s="2"/>
      <c r="AM156" s="2"/>
      <c r="AN156" s="2"/>
      <c r="AO156" s="2"/>
      <c r="AP156" s="20" t="s">
        <v>1099</v>
      </c>
      <c r="AQ156" s="2"/>
      <c r="AR156" s="20" t="s">
        <v>37</v>
      </c>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0" t="s">
        <v>83</v>
      </c>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0" t="s">
        <v>73</v>
      </c>
      <c r="DW156" s="2"/>
      <c r="DX156" s="2"/>
      <c r="DY156" s="2"/>
      <c r="DZ156" s="2"/>
      <c r="EA156" s="2"/>
      <c r="EB156" s="2"/>
      <c r="EC156" s="2"/>
      <c r="ED156" s="2"/>
      <c r="EE156" s="2"/>
      <c r="EF156" s="2"/>
      <c r="EG156" s="2"/>
      <c r="EH156" s="2"/>
      <c r="EI156" s="2"/>
      <c r="EJ156" s="2"/>
      <c r="EK156" s="2"/>
      <c r="EL156" s="2"/>
      <c r="EM156" s="2"/>
      <c r="EN156" s="2"/>
      <c r="EO156" s="2"/>
      <c r="EP156" s="20" t="s">
        <v>135</v>
      </c>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0" t="s">
        <v>73</v>
      </c>
      <c r="FS156" s="2"/>
      <c r="FT156" s="2"/>
      <c r="FU156" s="2"/>
      <c r="FV156" s="2"/>
      <c r="FW156" s="2"/>
      <c r="FX156" s="2"/>
      <c r="FY156" s="2"/>
      <c r="FZ156" s="2"/>
      <c r="GA156" s="2"/>
      <c r="GB156" s="2"/>
      <c r="GC156" s="2"/>
      <c r="GD156" s="2"/>
      <c r="GE156" s="2"/>
      <c r="GF156" s="20" t="s">
        <v>73</v>
      </c>
      <c r="GG156" s="2"/>
      <c r="GH156" s="2"/>
      <c r="GI156" s="2"/>
      <c r="GJ156" s="2"/>
      <c r="GK156" s="2"/>
      <c r="GL156" s="2"/>
      <c r="GM156" s="2"/>
      <c r="GN156" s="2"/>
      <c r="GO156" s="2"/>
      <c r="GP156" s="20" t="s">
        <v>73</v>
      </c>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0" t="s">
        <v>73</v>
      </c>
      <c r="HS156" s="2"/>
      <c r="HT156" s="2"/>
      <c r="HU156" s="2"/>
      <c r="HV156" s="2"/>
      <c r="HW156" s="2"/>
      <c r="HX156" s="2"/>
      <c r="HY156" s="2"/>
      <c r="HZ156" s="2"/>
      <c r="IA156" s="2"/>
      <c r="IB156" s="20" t="s">
        <v>73</v>
      </c>
      <c r="IC156" s="2"/>
      <c r="ID156" s="2"/>
      <c r="IE156" s="2"/>
      <c r="IF156" s="2"/>
      <c r="IG156" s="2"/>
      <c r="IH156" s="2"/>
      <c r="II156" s="2"/>
      <c r="IJ156" s="20" t="s">
        <v>73</v>
      </c>
      <c r="IK156" s="2"/>
      <c r="IL156" s="2"/>
      <c r="IM156" s="2"/>
      <c r="IN156" s="2"/>
      <c r="IO156" s="2"/>
      <c r="IP156" s="2"/>
      <c r="IQ156" s="2"/>
      <c r="IR156" s="2"/>
      <c r="IS156" s="2"/>
      <c r="IT156" s="20" t="s">
        <v>73</v>
      </c>
      <c r="IU156" s="2"/>
      <c r="IV156" s="2"/>
      <c r="IW156" s="2"/>
      <c r="IX156" s="20" t="s">
        <v>73</v>
      </c>
      <c r="IY156" s="2"/>
      <c r="IZ156" s="2"/>
      <c r="JA156" s="2"/>
      <c r="JB156" s="20" t="s">
        <v>73</v>
      </c>
      <c r="JC156" s="2"/>
      <c r="JD156" s="2"/>
      <c r="JE156" s="2"/>
      <c r="JF156" s="20" t="s">
        <v>73</v>
      </c>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0" t="s">
        <v>73</v>
      </c>
      <c r="KG156" s="2"/>
      <c r="KH156" s="20" t="s">
        <v>1100</v>
      </c>
      <c r="KI156" s="2"/>
      <c r="KJ156" s="20" t="s">
        <v>1101</v>
      </c>
      <c r="KK156" s="2"/>
    </row>
    <row r="157" spans="1:297" ht="60" customHeight="1" x14ac:dyDescent="0.25">
      <c r="A157" s="5" t="str">
        <f t="shared" si="25"/>
        <v xml:space="preserve">ECDC, (2026) </v>
      </c>
      <c r="B157" s="3" t="str">
        <f t="shared" si="26"/>
        <v>Communicable disease threats report, 27 June - 3 July 2026, week 27</v>
      </c>
      <c r="C157" s="4" t="str">
        <f t="shared" si="27"/>
        <v>Other non-primary, Government report</v>
      </c>
      <c r="D157" s="4" t="str">
        <f t="shared" si="28"/>
        <v>Bundibugyo</v>
      </c>
      <c r="E157" s="4" t="str">
        <f t="shared" si="29"/>
        <v>Yes</v>
      </c>
      <c r="F157" s="4" t="str">
        <f t="shared" si="30"/>
        <v/>
      </c>
      <c r="G157" s="4" t="str">
        <f t="shared" si="31"/>
        <v/>
      </c>
      <c r="H157" s="4" t="str">
        <f t="shared" si="32"/>
        <v/>
      </c>
      <c r="I157" s="4" t="str">
        <f t="shared" si="33"/>
        <v/>
      </c>
      <c r="J157" s="5" t="str">
        <f t="shared" si="34"/>
        <v/>
      </c>
      <c r="K157" s="5" t="str">
        <f t="shared" si="35"/>
        <v/>
      </c>
      <c r="N157" s="2" t="str">
        <f t="shared" si="36"/>
        <v>https://www.ecdc.europa.eu/en/publications-data/communicable-disease-threats-report-27-june-3-july-2026-week-27</v>
      </c>
      <c r="O157" s="20">
        <v>576</v>
      </c>
      <c r="P157" s="20" t="s">
        <v>1364</v>
      </c>
      <c r="Q157" s="20" t="s">
        <v>1102</v>
      </c>
      <c r="R157" s="2"/>
      <c r="S157" s="20" t="s">
        <v>1103</v>
      </c>
      <c r="T157" s="20" t="s">
        <v>266</v>
      </c>
      <c r="U157" s="2"/>
      <c r="V157" s="20">
        <v>2</v>
      </c>
      <c r="W157" s="2"/>
      <c r="X157" s="20" t="s">
        <v>1103</v>
      </c>
      <c r="Y157" s="2"/>
      <c r="Z157" s="20" t="s">
        <v>21</v>
      </c>
      <c r="AA157" s="2"/>
      <c r="AB157" s="2"/>
      <c r="AC157" s="2"/>
      <c r="AD157" s="20" t="s">
        <v>352</v>
      </c>
      <c r="AE157" s="2"/>
      <c r="AF157" s="20" t="s">
        <v>270</v>
      </c>
      <c r="AG157" s="2"/>
      <c r="AH157" s="2"/>
      <c r="AI157" s="20" t="s">
        <v>437</v>
      </c>
      <c r="AJ157" s="2"/>
      <c r="AK157" s="20" t="s">
        <v>449</v>
      </c>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row>
    <row r="158" spans="1:297" ht="60" customHeight="1" x14ac:dyDescent="0.25">
      <c r="A158" s="5" t="str">
        <f t="shared" si="25"/>
        <v>ArienKK, (2026), Nature</v>
      </c>
      <c r="B158" s="3" t="str">
        <f t="shared" si="26"/>
        <v>Better diagnostics could have limited this Ebola outbreak</v>
      </c>
      <c r="C158" s="4" t="str">
        <f t="shared" si="27"/>
        <v>Commentary, Peer-reviewed publication</v>
      </c>
      <c r="D158" s="4" t="str">
        <f t="shared" si="28"/>
        <v>Bundibugyo</v>
      </c>
      <c r="E158" s="4" t="str">
        <f t="shared" si="29"/>
        <v>Yes</v>
      </c>
      <c r="F158" s="4" t="str">
        <f t="shared" si="30"/>
        <v/>
      </c>
      <c r="G158" s="4" t="str">
        <f t="shared" si="31"/>
        <v/>
      </c>
      <c r="H158" s="4" t="str">
        <f t="shared" si="32"/>
        <v/>
      </c>
      <c r="I158" s="4" t="str">
        <f t="shared" si="33"/>
        <v/>
      </c>
      <c r="J158" s="5" t="str">
        <f t="shared" si="34"/>
        <v/>
      </c>
      <c r="K158" s="5" t="str">
        <f t="shared" si="35"/>
        <v/>
      </c>
      <c r="N158" s="2" t="str">
        <f t="shared" si="36"/>
        <v>https://doi.org/10.1038/d41586-026-01724-0</v>
      </c>
      <c r="O158" s="20">
        <v>595</v>
      </c>
      <c r="P158" s="20" t="s">
        <v>1104</v>
      </c>
      <c r="Q158" s="20" t="s">
        <v>1105</v>
      </c>
      <c r="R158" s="20" t="s">
        <v>1106</v>
      </c>
      <c r="S158" s="20" t="s">
        <v>1107</v>
      </c>
      <c r="T158" s="20" t="s">
        <v>266</v>
      </c>
      <c r="U158" s="2"/>
      <c r="V158" s="20">
        <v>2</v>
      </c>
      <c r="W158" s="2"/>
      <c r="X158" s="20" t="s">
        <v>1108</v>
      </c>
      <c r="Y158" s="2"/>
      <c r="Z158" s="20" t="s">
        <v>21</v>
      </c>
      <c r="AA158" s="2"/>
      <c r="AB158" s="2"/>
      <c r="AC158" s="2"/>
      <c r="AD158" s="20" t="s">
        <v>352</v>
      </c>
      <c r="AE158" s="2"/>
      <c r="AF158" s="20" t="s">
        <v>270</v>
      </c>
      <c r="AG158" s="2"/>
      <c r="AH158" s="2"/>
      <c r="AI158" s="20" t="s">
        <v>271</v>
      </c>
      <c r="AJ158" s="2"/>
      <c r="AK158" s="20" t="s">
        <v>425</v>
      </c>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row>
    <row r="159" spans="1:297" ht="60" customHeight="1" x14ac:dyDescent="0.25">
      <c r="A159" s="5" t="str">
        <f t="shared" si="25"/>
        <v>BoumY, et al, (2026), Journal of Public Health in Africa</v>
      </c>
      <c r="B159" s="3" t="str">
        <f t="shared" si="26"/>
        <v>Ebola disease outbreak caused by Bundibugyo virus in Africa: A defining moment for Africa's health security and sovereignty</v>
      </c>
      <c r="C159" s="4" t="str">
        <f t="shared" si="27"/>
        <v>Commentary, Peer-reviewed publication</v>
      </c>
      <c r="D159" s="4" t="str">
        <f t="shared" si="28"/>
        <v>Bundibugyo</v>
      </c>
      <c r="E159" s="4" t="str">
        <f t="shared" si="29"/>
        <v>Yes</v>
      </c>
      <c r="F159" s="4" t="str">
        <f t="shared" si="30"/>
        <v/>
      </c>
      <c r="G159" s="4" t="str">
        <f t="shared" si="31"/>
        <v/>
      </c>
      <c r="H159" s="4" t="str">
        <f t="shared" si="32"/>
        <v/>
      </c>
      <c r="I159" s="4" t="str">
        <f t="shared" si="33"/>
        <v/>
      </c>
      <c r="J159" s="5" t="str">
        <f t="shared" si="34"/>
        <v/>
      </c>
      <c r="K159" s="5" t="str">
        <f t="shared" si="35"/>
        <v/>
      </c>
      <c r="N159" s="2" t="str">
        <f t="shared" si="36"/>
        <v>https://doi.org/10.4102/jphia.v17i1.2069</v>
      </c>
      <c r="O159" s="20">
        <v>596</v>
      </c>
      <c r="P159" s="20" t="s">
        <v>1109</v>
      </c>
      <c r="Q159" s="20" t="s">
        <v>1110</v>
      </c>
      <c r="R159" s="20" t="s">
        <v>1111</v>
      </c>
      <c r="S159" s="20" t="s">
        <v>1112</v>
      </c>
      <c r="T159" s="20" t="s">
        <v>266</v>
      </c>
      <c r="U159" s="2"/>
      <c r="V159" s="20">
        <v>2</v>
      </c>
      <c r="W159" s="2"/>
      <c r="X159" s="20" t="s">
        <v>1113</v>
      </c>
      <c r="Y159" s="2"/>
      <c r="Z159" s="20" t="s">
        <v>21</v>
      </c>
      <c r="AA159" s="2"/>
      <c r="AB159" s="2"/>
      <c r="AC159" s="2"/>
      <c r="AD159" s="20" t="s">
        <v>352</v>
      </c>
      <c r="AE159" s="2"/>
      <c r="AF159" s="20" t="s">
        <v>270</v>
      </c>
      <c r="AG159" s="2"/>
      <c r="AH159" s="2"/>
      <c r="AI159" s="20" t="s">
        <v>271</v>
      </c>
      <c r="AJ159" s="2"/>
      <c r="AK159" s="20" t="s">
        <v>425</v>
      </c>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row>
    <row r="160" spans="1:297" ht="60" customHeight="1" x14ac:dyDescent="0.25">
      <c r="A160" s="5" t="str">
        <f t="shared" si="25"/>
        <v>HunzikerP, et al, (2026), SSRN</v>
      </c>
      <c r="B160" s="3" t="str">
        <f t="shared" si="26"/>
        <v>Managing Bundibugyo Ebola Disease under Weak Contact Tracing and PPE Scarcity: Strategy Modelling for Scarce Emerging Vaccine Stock in Bunia/Ituri</v>
      </c>
      <c r="C160" s="4" t="str">
        <f t="shared" si="27"/>
        <v>Primary - article, Modeling, Preprint</v>
      </c>
      <c r="D160" s="4" t="str">
        <f t="shared" si="28"/>
        <v>Bundibugyo</v>
      </c>
      <c r="E160" s="4" t="str">
        <f t="shared" si="29"/>
        <v>Yes</v>
      </c>
      <c r="F160" s="4" t="str">
        <f t="shared" si="30"/>
        <v>This deterministic model compared outbreak-management strategies  over 200 days for a Bunia-scale population of
1,000,000 people. By day 100, the no-vaccine counterfactual generated 104,949 deaths and 395,381 infections while full-dose ring vaccination reduced deaths to 1,267 with optimistic, but left 32,980 with pessimistic tracing. Broader Low-Dose Intradermal (LDID) vaccination strategies reduced deaths to 15,135–18,383, versus 27,935 under mass full-dose vaccination. Personalised vaccination plus PPE/isolation reduced deaths to 1,702 and infections to 4,820.  The study suggests comprehensive Ebola response includes vaccination, contact tracing, effective distribution and use of PPE, isolation of cases to prevent transmission, and acting early.</v>
      </c>
      <c r="G160" s="4" t="str">
        <f t="shared" si="31"/>
        <v>Size or Duration estimate; Mortality; Other PHM; PPE - IPC</v>
      </c>
      <c r="H160" s="4" t="str">
        <f t="shared" si="32"/>
        <v>Human - General population</v>
      </c>
      <c r="I160" s="4" t="str">
        <f t="shared" si="33"/>
        <v/>
      </c>
      <c r="J160" s="5" t="str">
        <f t="shared" si="34"/>
        <v>Public Health Measures - Other: Ring vaccination remains scientifically strong but operationally conditional. The optimistic ring scenario performs well because it assumes sufficient detection, listing, follow-up, isolation, and vaccination. The pessimistic ring scenario shows the failure mode: when the ring is not visible, full dose vaccine may be used efficiently while leaving most transmission unaddressed. This is the central reason to evaluate geographic rings, high-contact targeting, and population-layer strategies. Reduced-dose intradermal vaccination is an option for rational vaccine-stock allocation, not the 
primary claim of the paper. The fractional-dose and mRNA dose-response evidence supports threshold modelling, but no current reduced-dose Bundibugyo vaccine efficacy has been established. 
Infection Prevention and Control - Use of PPE:
Low-dose intradermal plus PPE/isolation: when applied early, reduced deaths to 1,702 and infections to 4,820, underscoring that vaccine allocation alone is unlikely to control an outbreak if health-care, funeral and household transmission remain uncontrolled. The integrated PPE/isolation plus personalised vaccination scenario demonstrates that non-vaccine response strengthening can dominate vaccine allocation differences when healthcare amplification is severe. Limited PPE may be as strategically important as limited vaccine. In the integrated scenario, PPE/isolation improvement shifts the system close to control. For field decision support, the relevant comparison is therefore not vaccine strategy alone, but packages combining vaccination, PPE, isolation, safe burial, decentralized testing, community engagement, and operational logistics.  
Clinical Data - Mortality:  The no-vaccine counterfactual generated 
104,949 deaths by day 100 under baseline assumptions. Full-dose ring vaccination with optimistic tracing reduced deaths to 1,267 by day 100, consistent with ring vaccination being highly effective when the ring is visible. Under pessimistic tracing, however, the same full-dose ring concept left 32,980 deaths. Under weak-tracing assumptions, broader low-dose intradermal strategies reduced deaths to 15,135–18,383.  The personalised low-dose intradermal plus PPE/isolation scenario, when applied early, reduced deaths to 1,702. for the central personalized LDID scenario, the death range across Rt values was 4,840–217,647, whereas delaying intervention start from day 14 to day 60 increased day-100 deaths from 11,376 to 28,559 in this scenario. 
Epidemiological Parameter - Estimates of outbreak size or duration: 
No vaccine counterfactual:  Generated 104,949 deaths and 395,381 infections by day 100 under baseline assumptions, highlighting a warning signal for explosive epidemic potential, If unobserved transmission chains, health-care amplification, delayed isolation, and PPE scarcity persist, an apparently localized outbreak can become a city-scale crisis that could spread beyond the initial urban focus and across connected health zones or borders.
Full-dose ring vaccination: Full-dose ring vaccination with optimistic tracing reduced deaths to 1,267 and infections to 3,411 by day 100, consistent with ring vaccination being highly effective when the ring is visible. Under pessimistic tracing, however, the same full-dose ring concept left 32,980 deaths and 127,287 infections, indicating that efficient vaccine use in known contacts may still miss most epidemic transmission when contact chains are not captured. 
Low-dose intradermal population-layer strategies under stock constraint: Under weak-tracing assumptions, broader low-dose intradermal strategies reduced deaths to 15,135–18,383 and infections to 58,596–68,563, outperforming mass full-dose vaccination under the same full-dose-equivalent stick constraint. 
Personalized LDID scenario: Sensitivity analysis demonstrates that the central personalised LDID scenario is highly sensitive to the reproduction number (Rt) and the timing of interventions. Controlling the spread of the virus and implementing interventions early are crucial for reducing mortality in this scenario.
The highest-impact strategy is integrated management:  Protect high risk/frontline groups, extend protection to hidden transmission layers if candidate vaccine properties permit, urgently reduce health-care amplification through PPE and isolation, minimize delays wherever operationally possible, and strongly pursue community engagement to encourage trust towards and collaboration with the Ebola response.</v>
      </c>
      <c r="K160" s="5" t="str">
        <f t="shared" si="35"/>
        <v>This study employs a transparent deterministic spreadsheet model to rapidly screen outbreak management strategies under severe uncertainty, focusing on scenario exploration rather than calibrated forecasting. It models a population of 1,000,000 in Bunia, divided into three risk strata based on transmission risk: high-risk contacts and frontline workers (Group A, 0.5%), high-contact mobile adults (Group B, 27.0%), and the general population (Group C, 72.5%). The model tracks disease dynamics and intervention effects over 200 days, with day 100 as the primary endpoint, incorporating delayed vaccine protection and various state variables including infections, deaths, and vaccine allocation. Strategy arms compared in the model include: No vaccine / response only, Full-dose ring/contact/frontline with strong tracing/isolation modifier, Full-dose ring/contact/frontline with moderate tracing/isolation modifier, Full-dose ring/contact/frontline with weak tracing/isolation modifier, Full-dose inner ring plus low-dose intradermal outer geographic belt, 50% full-dose high-risk plus 50% LDID population layer, Full-dose high-risk reserve plus high-contact-first LDID, Minimal full-dose reserve plus broad low-dose LDID, Mass full-dose campaign with high-risk reserve,  and Personalised LDID plus PPE/isolation scale-up.</v>
      </c>
      <c r="N160" s="2" t="str">
        <f t="shared" si="36"/>
        <v>https://doi.org/10.2139/ssrn.6883091</v>
      </c>
      <c r="O160" s="20">
        <v>612</v>
      </c>
      <c r="P160" s="20" t="s">
        <v>1114</v>
      </c>
      <c r="Q160" s="20" t="s">
        <v>1115</v>
      </c>
      <c r="R160" s="20" t="s">
        <v>1116</v>
      </c>
      <c r="S160" s="20" t="s">
        <v>1117</v>
      </c>
      <c r="T160" s="20" t="s">
        <v>266</v>
      </c>
      <c r="U160" s="2"/>
      <c r="V160" s="20" t="s">
        <v>267</v>
      </c>
      <c r="W160" s="2"/>
      <c r="X160" s="20" t="s">
        <v>1118</v>
      </c>
      <c r="Y160" s="2"/>
      <c r="Z160" s="20" t="s">
        <v>21</v>
      </c>
      <c r="AA160" s="2"/>
      <c r="AB160" s="2"/>
      <c r="AC160" s="2"/>
      <c r="AD160" s="20" t="s">
        <v>352</v>
      </c>
      <c r="AE160" s="2"/>
      <c r="AF160" s="20" t="s">
        <v>270</v>
      </c>
      <c r="AG160" s="2"/>
      <c r="AH160" s="2"/>
      <c r="AI160" s="20" t="s">
        <v>353</v>
      </c>
      <c r="AJ160" s="2"/>
      <c r="AK160" s="20" t="s">
        <v>272</v>
      </c>
      <c r="AL160" s="2"/>
      <c r="AM160" s="2"/>
      <c r="AN160" s="2"/>
      <c r="AO160" s="2"/>
      <c r="AP160" s="20" t="s">
        <v>1119</v>
      </c>
      <c r="AQ160" s="2"/>
      <c r="AR160" s="20" t="s">
        <v>37</v>
      </c>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0" t="s">
        <v>83</v>
      </c>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0" t="s">
        <v>73</v>
      </c>
      <c r="DW160" s="2"/>
      <c r="DX160" s="2"/>
      <c r="DY160" s="2"/>
      <c r="DZ160" s="2"/>
      <c r="EA160" s="2"/>
      <c r="EB160" s="2"/>
      <c r="EC160" s="2"/>
      <c r="ED160" s="2"/>
      <c r="EE160" s="2"/>
      <c r="EF160" s="2"/>
      <c r="EG160" s="2"/>
      <c r="EH160" s="2"/>
      <c r="EI160" s="2"/>
      <c r="EJ160" s="2"/>
      <c r="EK160" s="2"/>
      <c r="EL160" s="2"/>
      <c r="EM160" s="2"/>
      <c r="EN160" s="2"/>
      <c r="EO160" s="2"/>
      <c r="EP160" s="20" t="s">
        <v>135</v>
      </c>
      <c r="EQ160" s="2"/>
      <c r="ER160" s="2"/>
      <c r="ES160" s="2"/>
      <c r="ET160" s="2"/>
      <c r="EU160" s="2"/>
      <c r="EV160" s="2"/>
      <c r="EW160" s="2"/>
      <c r="EX160" s="2"/>
      <c r="EY160" s="2"/>
      <c r="EZ160" s="2"/>
      <c r="FA160" s="2"/>
      <c r="FB160" s="2"/>
      <c r="FC160" s="2"/>
      <c r="FD160" s="2"/>
      <c r="FE160" s="2"/>
      <c r="FF160" s="20" t="s">
        <v>149</v>
      </c>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0" t="s">
        <v>73</v>
      </c>
      <c r="GG160" s="2"/>
      <c r="GH160" s="2"/>
      <c r="GI160" s="2"/>
      <c r="GJ160" s="2"/>
      <c r="GK160" s="2"/>
      <c r="GL160" s="2"/>
      <c r="GM160" s="2"/>
      <c r="GN160" s="2"/>
      <c r="GO160" s="2"/>
      <c r="GP160" s="20" t="s">
        <v>73</v>
      </c>
      <c r="GQ160" s="2"/>
      <c r="GR160" s="2"/>
      <c r="GS160" s="2"/>
      <c r="GT160" s="2"/>
      <c r="GU160" s="2"/>
      <c r="GV160" s="2"/>
      <c r="GW160" s="2"/>
      <c r="GX160" s="2"/>
      <c r="GY160" s="2"/>
      <c r="GZ160" s="2"/>
      <c r="HA160" s="2"/>
      <c r="HB160" s="20" t="s">
        <v>191</v>
      </c>
      <c r="HC160" s="2"/>
      <c r="HD160" s="2"/>
      <c r="HE160" s="2"/>
      <c r="HF160" s="20" t="s">
        <v>195</v>
      </c>
      <c r="HG160" s="2"/>
      <c r="HH160" s="2"/>
      <c r="HI160" s="2"/>
      <c r="HJ160" s="2"/>
      <c r="HK160" s="2"/>
      <c r="HL160" s="2"/>
      <c r="HM160" s="2"/>
      <c r="HN160" s="2"/>
      <c r="HO160" s="2"/>
      <c r="HP160" s="2"/>
      <c r="HQ160" s="2"/>
      <c r="HR160" s="2"/>
      <c r="HS160" s="2"/>
      <c r="HT160" s="2"/>
      <c r="HU160" s="2"/>
      <c r="HV160" s="2"/>
      <c r="HW160" s="2"/>
      <c r="HX160" s="2"/>
      <c r="HY160" s="2"/>
      <c r="HZ160" s="2"/>
      <c r="IA160" s="2"/>
      <c r="IB160" s="20" t="s">
        <v>73</v>
      </c>
      <c r="IC160" s="2"/>
      <c r="ID160" s="2"/>
      <c r="IE160" s="2"/>
      <c r="IF160" s="2"/>
      <c r="IG160" s="2"/>
      <c r="IH160" s="2"/>
      <c r="II160" s="2"/>
      <c r="IJ160" s="20" t="s">
        <v>73</v>
      </c>
      <c r="IK160" s="2"/>
      <c r="IL160" s="2"/>
      <c r="IM160" s="2"/>
      <c r="IN160" s="2"/>
      <c r="IO160" s="2"/>
      <c r="IP160" s="2"/>
      <c r="IQ160" s="2"/>
      <c r="IR160" s="2"/>
      <c r="IS160" s="2"/>
      <c r="IT160" s="20" t="s">
        <v>73</v>
      </c>
      <c r="IU160" s="2"/>
      <c r="IV160" s="2"/>
      <c r="IW160" s="2"/>
      <c r="IX160" s="20" t="s">
        <v>73</v>
      </c>
      <c r="IY160" s="2"/>
      <c r="IZ160" s="2"/>
      <c r="JA160" s="2"/>
      <c r="JB160" s="20" t="s">
        <v>73</v>
      </c>
      <c r="JC160" s="2"/>
      <c r="JD160" s="2"/>
      <c r="JE160" s="2"/>
      <c r="JF160" s="20" t="s">
        <v>73</v>
      </c>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0" t="s">
        <v>73</v>
      </c>
      <c r="KG160" s="2"/>
      <c r="KH160" s="20" t="s">
        <v>1120</v>
      </c>
      <c r="KI160" s="2"/>
      <c r="KJ160" s="20" t="s">
        <v>1121</v>
      </c>
      <c r="KK160" s="2"/>
    </row>
    <row r="161" spans="1:297" ht="60" customHeight="1" x14ac:dyDescent="0.25">
      <c r="A161" s="5" t="str">
        <f t="shared" si="25"/>
        <v>Dotse-Gborgbortsi, et al, (2026), PLOS Global Public Health</v>
      </c>
      <c r="B161" s="3" t="str">
        <f t="shared" si="26"/>
        <v>Globalisation, rising authoritarianism, declining solidarity, and retreating multilateralism: A perfect storm for amplifying the risk of outbreaks</v>
      </c>
      <c r="C161" s="4" t="str">
        <f t="shared" si="27"/>
        <v>Commentary, Peer-reviewed publication</v>
      </c>
      <c r="D161" s="4" t="str">
        <f t="shared" si="28"/>
        <v>Bundibugyo</v>
      </c>
      <c r="E161" s="4" t="str">
        <f t="shared" si="29"/>
        <v>Yes</v>
      </c>
      <c r="F161" s="4" t="str">
        <f t="shared" si="30"/>
        <v/>
      </c>
      <c r="G161" s="4" t="str">
        <f t="shared" si="31"/>
        <v/>
      </c>
      <c r="H161" s="4" t="str">
        <f t="shared" si="32"/>
        <v/>
      </c>
      <c r="I161" s="4" t="str">
        <f t="shared" si="33"/>
        <v/>
      </c>
      <c r="J161" s="5" t="str">
        <f t="shared" si="34"/>
        <v/>
      </c>
      <c r="K161" s="5" t="str">
        <f t="shared" si="35"/>
        <v/>
      </c>
      <c r="N161" s="2" t="str">
        <f t="shared" si="36"/>
        <v>https://doi.org/10.1371/journal.pgph.0006783</v>
      </c>
      <c r="O161" s="20">
        <v>621</v>
      </c>
      <c r="P161" s="20" t="s">
        <v>1122</v>
      </c>
      <c r="Q161" s="20" t="s">
        <v>1123</v>
      </c>
      <c r="R161" s="20" t="s">
        <v>1124</v>
      </c>
      <c r="S161" s="20" t="s">
        <v>1125</v>
      </c>
      <c r="T161" s="20" t="s">
        <v>266</v>
      </c>
      <c r="U161" s="2"/>
      <c r="V161" s="20">
        <v>2</v>
      </c>
      <c r="W161" s="2"/>
      <c r="X161" s="20" t="s">
        <v>1126</v>
      </c>
      <c r="Y161" s="2"/>
      <c r="Z161" s="20" t="s">
        <v>21</v>
      </c>
      <c r="AA161" s="2"/>
      <c r="AB161" s="2"/>
      <c r="AC161" s="2"/>
      <c r="AD161" s="20" t="s">
        <v>352</v>
      </c>
      <c r="AE161" s="2"/>
      <c r="AF161" s="20" t="s">
        <v>270</v>
      </c>
      <c r="AG161" s="2"/>
      <c r="AH161" s="2"/>
      <c r="AI161" s="20" t="s">
        <v>271</v>
      </c>
      <c r="AJ161" s="2"/>
      <c r="AK161" s="20" t="s">
        <v>425</v>
      </c>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row>
    <row r="162" spans="1:297" s="16" customFormat="1" ht="60" customHeight="1" x14ac:dyDescent="0.25">
      <c r="A162" s="13" t="str">
        <f t="shared" si="25"/>
        <v xml:space="preserve">ZENG, et al, (2026) </v>
      </c>
      <c r="B162" s="14" t="str">
        <f t="shared" si="26"/>
        <v>A Tripartite Evolutionary Game Model for Ebola Vaccination and Coordinated Public Health Intervention</v>
      </c>
      <c r="C162" s="15" t="str">
        <f t="shared" si="27"/>
        <v>Primary - article, Modeling, Preprint</v>
      </c>
      <c r="D162" s="15" t="str">
        <f t="shared" si="28"/>
        <v>Bundibugyo</v>
      </c>
      <c r="E162" s="15" t="str">
        <f t="shared" si="29"/>
        <v>Yes</v>
      </c>
      <c r="F162" s="15" t="str">
        <f t="shared" si="30"/>
        <v>This tripartite evolutionary game model examined Ebola control by linking vaccination uptake and transmission dynamics with coordinated actions by the public, government public health authorities, and healthcare/community institutions. Compared with voluntary vaccination alone, tripartite coordination reduced the time to achieve R0&lt;1 from 60 to 14 days, lowered peak infections to I_max=78.59 cases, and reduced peak infections, cumulative infections, and death proxy by 33.75%, 33.44%, and 31.59%, respectively, suggesting that Ebola vaccination governance should be designed as an integrated coordination system rather than an isolated voluntary vaccination program.</v>
      </c>
      <c r="G162" s="15" t="str">
        <f t="shared" si="31"/>
        <v>Reproduction Number; Size or Duration estimate; KAB and uptake; Other PHM</v>
      </c>
      <c r="H162" s="15" t="str">
        <f t="shared" si="32"/>
        <v>Human - General population</v>
      </c>
      <c r="I162" s="15" t="str">
        <f t="shared" si="33"/>
        <v/>
      </c>
      <c r="J162" s="13" t="str">
        <f t="shared" si="34"/>
        <v>Study evaluated PHM (vaccination and tripartite coordinated intervention, etc) and their impact on cumulative infection and deaths:
 Four epidemic-control outcomes under four intervention strategies were compared. These scenarios include: Voluntary vaccination only, Government-led intervention, Institution-supported implementation and Tripartite coordinated intervention. The tripartite coordinated intervention achieves the most favorable control performance among the four scenarios. It yields the lowest peak infected population, Imax =78.59, the earliest epidemic peak, tmax =27 days, the lowest cumulative infection proxy, CI(180)=4416.52, and the lowest cumulative death proxy, CD(180)=2284.65. Relative to the voluntary vaccination-only baseline, the tripartite coordinated strategy reduces peak infection, cumulative infection proxy, and cumulative death proxy by 33.75%, 33.44%, and 31.59%, respectively. These findings indicate that coordinated governance not only shortens the time required to bring R0(t) below one, but also produces a substantial reduction in epidemic burden.
Vaccination uptake is a governance-mediated behavioral outcome, not a purely biomedical input. Second, cultural-risk transmission and unsafe burial can offset vaccination benefits if community trust and institutional implementation are weak. Third, the fastest route to R_0(t) &lt; 1 is not a single strong actor but the alignment of public, government, and institutions. Fourth, the most useful policy levers are those that reduce participation cost, increase intervention credibility, strengthen implementation capacity, and improve public feedback. These findings are consistent with the broader behavioral epidemic literature, which emphasizes that human behavior and disease dynamics should be modeled as coupled processes
Epidemiological Parameter - Reproduction Number (R0/Rt):  The tripartite coordinated intervention reduces R0 from R0(0)=1.354 to R0(180)=0.724 and crosses the control threshold within 14 days, whereas the voluntary vaccination-only scenario reduces R0 from R0(0) =1.749 R0(180)= 0.932 and requires 60 days to reach the same threshold. This result shows that coordinated governance can accelerate epidemic suppression by simultaneously improving vaccination uptake, reducing cultural-risk transmission, strengthening safe-burial removal, and enhancing institutional implementation capacity. The scenario comparison also reveals that single-actor strategies are useful but incomplete. Government-led intervention reduces R0(t) faster than voluntary-only vaccination because subsidies, communication, and surveillance lower behavioral barriers and increase compliance. 
Other vaccine studies - Compliance/uptake/knowledge, attitudes, and beliefs: Government-led intervention reduces R0(t) faster than voluntary-only vaccination because subsidies, communication, and surveillance lower behavioral barriers and increase compliance. The realized vaccination rate is further shaped by government subsidy, public communication, institutional accessibility, safe-burial capacity, and public exposure feedback. Thus, the vaccination decision becomes embedded in a public health governance system rather than being treated as an isolated individual choice.</v>
      </c>
      <c r="K162" s="13" t="str">
        <f t="shared" si="35"/>
        <v>This study constructs a tripartite evolutionary game model involving three boundedly rational stakeholders: the public, government public health authorities, and healthcare/community implementation institutions. The model is built on the Ebola voluntary vaccination framework and extends the individual-level vaccination decision into a coordinated public health governance system.</v>
      </c>
      <c r="L162" s="13"/>
      <c r="N162" s="17" t="str">
        <f t="shared" si="36"/>
        <v>https://doi.org/10.21203/rs.3.rs-9875923/v1</v>
      </c>
      <c r="O162" s="20">
        <v>649</v>
      </c>
      <c r="P162" s="20" t="s">
        <v>1395</v>
      </c>
      <c r="Q162" s="20" t="s">
        <v>1127</v>
      </c>
      <c r="R162" s="20" t="s">
        <v>1128</v>
      </c>
      <c r="S162" s="20" t="s">
        <v>1129</v>
      </c>
      <c r="T162" s="20" t="s">
        <v>266</v>
      </c>
      <c r="U162" s="2"/>
      <c r="V162" s="20" t="s">
        <v>267</v>
      </c>
      <c r="W162" s="2"/>
      <c r="X162" s="20" t="s">
        <v>1130</v>
      </c>
      <c r="Y162" s="2"/>
      <c r="Z162" s="20" t="s">
        <v>21</v>
      </c>
      <c r="AA162" s="2"/>
      <c r="AB162" s="2"/>
      <c r="AC162" s="2"/>
      <c r="AD162" s="20" t="s">
        <v>352</v>
      </c>
      <c r="AE162" s="2"/>
      <c r="AF162" s="20" t="s">
        <v>270</v>
      </c>
      <c r="AG162" s="2"/>
      <c r="AH162" s="2"/>
      <c r="AI162" s="20" t="s">
        <v>353</v>
      </c>
      <c r="AJ162" s="2"/>
      <c r="AK162" s="20" t="s">
        <v>272</v>
      </c>
      <c r="AL162" s="2"/>
      <c r="AM162" s="2"/>
      <c r="AN162" s="2"/>
      <c r="AO162" s="2"/>
      <c r="AP162" s="20" t="s">
        <v>1131</v>
      </c>
      <c r="AQ162" s="2"/>
      <c r="AR162" s="20" t="s">
        <v>37</v>
      </c>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0" t="s">
        <v>83</v>
      </c>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0" t="s">
        <v>73</v>
      </c>
      <c r="DW162" s="2"/>
      <c r="DX162" s="2"/>
      <c r="DY162" s="2"/>
      <c r="DZ162" s="2"/>
      <c r="EA162" s="2"/>
      <c r="EB162" s="2"/>
      <c r="EC162" s="2"/>
      <c r="ED162" s="2"/>
      <c r="EE162" s="2"/>
      <c r="EF162" s="20" t="s">
        <v>125</v>
      </c>
      <c r="EG162" s="2"/>
      <c r="EH162" s="2"/>
      <c r="EI162" s="2"/>
      <c r="EJ162" s="2"/>
      <c r="EK162" s="2"/>
      <c r="EL162" s="2"/>
      <c r="EM162" s="2"/>
      <c r="EN162" s="2"/>
      <c r="EO162" s="2"/>
      <c r="EP162" s="20" t="s">
        <v>135</v>
      </c>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0" t="s">
        <v>73</v>
      </c>
      <c r="FS162" s="2"/>
      <c r="FT162" s="2"/>
      <c r="FU162" s="2"/>
      <c r="FV162" s="2"/>
      <c r="FW162" s="2"/>
      <c r="FX162" s="2"/>
      <c r="FY162" s="2"/>
      <c r="FZ162" s="2"/>
      <c r="GA162" s="2"/>
      <c r="GB162" s="2"/>
      <c r="GC162" s="2"/>
      <c r="GD162" s="2"/>
      <c r="GE162" s="2"/>
      <c r="GF162" s="20" t="s">
        <v>73</v>
      </c>
      <c r="GG162" s="2"/>
      <c r="GH162" s="20" t="s">
        <v>173</v>
      </c>
      <c r="GI162" s="2"/>
      <c r="GJ162" s="2"/>
      <c r="GK162" s="2"/>
      <c r="GL162" s="2"/>
      <c r="GM162" s="2"/>
      <c r="GN162" s="2"/>
      <c r="GO162" s="2"/>
      <c r="GP162" s="2"/>
      <c r="GQ162" s="2"/>
      <c r="GR162" s="2"/>
      <c r="GS162" s="2"/>
      <c r="GT162" s="2"/>
      <c r="GU162" s="2"/>
      <c r="GV162" s="2"/>
      <c r="GW162" s="2"/>
      <c r="GX162" s="2"/>
      <c r="GY162" s="2"/>
      <c r="GZ162" s="2"/>
      <c r="HA162" s="2"/>
      <c r="HB162" s="20" t="s">
        <v>191</v>
      </c>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0" t="s">
        <v>73</v>
      </c>
      <c r="IC162" s="2"/>
      <c r="ID162" s="2"/>
      <c r="IE162" s="2"/>
      <c r="IF162" s="2"/>
      <c r="IG162" s="2"/>
      <c r="IH162" s="2"/>
      <c r="II162" s="2"/>
      <c r="IJ162" s="20" t="s">
        <v>73</v>
      </c>
      <c r="IK162" s="2"/>
      <c r="IL162" s="2"/>
      <c r="IM162" s="2"/>
      <c r="IN162" s="2"/>
      <c r="IO162" s="2"/>
      <c r="IP162" s="2"/>
      <c r="IQ162" s="2"/>
      <c r="IR162" s="2"/>
      <c r="IS162" s="2"/>
      <c r="IT162" s="20" t="s">
        <v>73</v>
      </c>
      <c r="IU162" s="2"/>
      <c r="IV162" s="2"/>
      <c r="IW162" s="2"/>
      <c r="IX162" s="20" t="s">
        <v>73</v>
      </c>
      <c r="IY162" s="2"/>
      <c r="IZ162" s="2"/>
      <c r="JA162" s="2"/>
      <c r="JB162" s="20" t="s">
        <v>73</v>
      </c>
      <c r="JC162" s="2"/>
      <c r="JD162" s="2"/>
      <c r="JE162" s="2"/>
      <c r="JF162" s="20" t="s">
        <v>73</v>
      </c>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0" t="s">
        <v>73</v>
      </c>
      <c r="KG162" s="2"/>
      <c r="KH162" s="20" t="s">
        <v>1132</v>
      </c>
      <c r="KI162" s="2"/>
      <c r="KJ162" s="20" t="s">
        <v>1133</v>
      </c>
      <c r="KK162" s="2"/>
    </row>
    <row r="163" spans="1:297" s="16" customFormat="1" ht="60" customHeight="1" x14ac:dyDescent="0.25">
      <c r="A163" s="13" t="str">
        <f t="shared" si="25"/>
        <v>Titanji, et al, (2026), PLOS global public health</v>
      </c>
      <c r="B163" s="14" t="str">
        <f t="shared" si="26"/>
        <v>The Bundibugyo Ebola Virus Emergency and the erosion of global health security</v>
      </c>
      <c r="C163" s="15" t="str">
        <f t="shared" si="27"/>
        <v>Commentary, Peer-reviewed publication</v>
      </c>
      <c r="D163" s="15" t="str">
        <f t="shared" si="28"/>
        <v>Bundibugyo</v>
      </c>
      <c r="E163" s="15" t="str">
        <f t="shared" si="29"/>
        <v>Yes</v>
      </c>
      <c r="F163" s="15" t="str">
        <f t="shared" si="30"/>
        <v/>
      </c>
      <c r="G163" s="15" t="str">
        <f t="shared" si="31"/>
        <v/>
      </c>
      <c r="H163" s="15" t="str">
        <f t="shared" si="32"/>
        <v/>
      </c>
      <c r="I163" s="15" t="str">
        <f t="shared" si="33"/>
        <v/>
      </c>
      <c r="J163" s="13" t="str">
        <f t="shared" si="34"/>
        <v/>
      </c>
      <c r="K163" s="13" t="str">
        <f t="shared" si="35"/>
        <v/>
      </c>
      <c r="L163" s="13"/>
      <c r="N163" s="17" t="str">
        <f t="shared" si="36"/>
        <v>https://doi.org/10.1371/journal.pgph.0006648</v>
      </c>
      <c r="O163" s="20">
        <v>650</v>
      </c>
      <c r="P163" s="20" t="s">
        <v>1134</v>
      </c>
      <c r="Q163" s="20" t="s">
        <v>1135</v>
      </c>
      <c r="R163" s="20" t="s">
        <v>1136</v>
      </c>
      <c r="S163" s="20" t="s">
        <v>1137</v>
      </c>
      <c r="T163" s="20" t="s">
        <v>266</v>
      </c>
      <c r="U163" s="2"/>
      <c r="V163" s="20">
        <v>2</v>
      </c>
      <c r="W163" s="2"/>
      <c r="X163" s="20" t="s">
        <v>1138</v>
      </c>
      <c r="Y163" s="2"/>
      <c r="Z163" s="20" t="s">
        <v>21</v>
      </c>
      <c r="AA163" s="2"/>
      <c r="AB163" s="2"/>
      <c r="AC163" s="2"/>
      <c r="AD163" s="20" t="s">
        <v>352</v>
      </c>
      <c r="AE163" s="2"/>
      <c r="AF163" s="20" t="s">
        <v>270</v>
      </c>
      <c r="AG163" s="2"/>
      <c r="AH163" s="2"/>
      <c r="AI163" s="20" t="s">
        <v>271</v>
      </c>
      <c r="AJ163" s="2"/>
      <c r="AK163" s="20" t="s">
        <v>425</v>
      </c>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row>
    <row r="164" spans="1:297" s="16" customFormat="1" ht="60" customHeight="1" x14ac:dyDescent="0.25">
      <c r="A164" s="13" t="str">
        <f t="shared" si="25"/>
        <v>Sganzerla Martinez, et al, (2026), Journal of infection in developing countries</v>
      </c>
      <c r="B164" s="14" t="str">
        <f t="shared" si="26"/>
        <v>Clock-like behavior across Orthoebolavirus species suggests alternative evolution of the 2026 Bundibugyo virus outbreak</v>
      </c>
      <c r="C164" s="15" t="str">
        <f t="shared" si="27"/>
        <v>Primary - article, Descriptive, Peer-reviewed publication</v>
      </c>
      <c r="D164" s="15" t="str">
        <f t="shared" si="28"/>
        <v>Bundibugyo</v>
      </c>
      <c r="E164" s="15" t="str">
        <f t="shared" si="29"/>
        <v>Yes</v>
      </c>
      <c r="F164" s="15" t="str">
        <f t="shared" si="30"/>
        <v>This study evaluated the presence of clock-like behaviour and the suitability of three Pathoplexus datasets (Ebola virus, Sudan virus and Bundibugyo virus) for temporal evolutionary analyses. Key findings include: Sudan virus (R2 = 0.855) and Ebola virus (R2 = 0.709) exhibited significant temporal structures between sampling time and genetic divergence; Bundibugyo virus displayed strong clock-like behavior after exclusion of 2026 genomes (R2 =  0.983), which showed a marked substitution deficit relative to the historical molecular clock and deviated substantially from the inferred regression.</v>
      </c>
      <c r="G164" s="15" t="str">
        <f t="shared" si="31"/>
        <v>Phylogenetic analysis/molecular epidemiology</v>
      </c>
      <c r="H164" s="15" t="str">
        <f t="shared" si="32"/>
        <v>Human - General population</v>
      </c>
      <c r="I164" s="15" t="str">
        <f t="shared" si="33"/>
        <v/>
      </c>
      <c r="J164" s="13" t="str">
        <f t="shared" si="34"/>
        <v>Phylogenetic analysis/molecular epidemiology:
RTT regression analyses revealed heterogenous but consistently significant temporal structures across the 3 evaluated Orthoebolavirus species. Sudan virus displayed a temporal signal of R2= 0.855 indicating that the data is compatible with clock-like evolutionary pattern. The  time  to  most  recent  common  ancestor  (TMRCA)  was  estimated  in  approximately  1,692  (95%  CI:  1652.7–1748.9) with a rate of 9.65e-05 substitutions per site per yearEbola virus (Orthoebolavirus zairense) had an initial weaker temporal signal pf  R2 = 0.515. A total of 121 outliers were identified and after their removal a stronger  temporal  signal  R2  =  0.709  was  obtained. An  RTT  regression  analysis  was  performed  across  all  sampled Bundibugyo virus and a  reduced  temporal  signal  and  poor model fit (R2 = 0.18) was obtained. This distortion suggested  potential  violations  of  a  strict  molecular  clock  assumption  when  the  full  dataset  was  analyzed. Bundibugyo  virus  showed  a  strong  temporal  signal  only  when  the  2026  genomes  were  excluded  from the analysis.
The  2026  Bundibugyo virus sequences   (n   =   15)   displayed   substantially   lower   divergence  value  corresponding  to  an  evolutionary  deficit   of   0.0368   substitutions   per   site   (observed   0.011793;  expected  0.48551).  Standardized  prediction  residuals  indicated  that  the  2026  genomes  represent  extreme  outliers  relative  to  the  baseline  evolutionary  model,   approaching   30   standard   deviations   below   expectation. These  results  indicate  that  the  sequences  from  the  2026  ongoing  outbreak  substantially  deviate  from     the     temporal     expectations     of     historical     Bundibugyo   virus   baseline   of   the   historical   clock   model, suggesting a marked disruption in the clock-like accumulations over the 2007–2026 timeframe.</v>
      </c>
      <c r="K164" s="13" t="str">
        <f t="shared" si="35"/>
        <v>The  Pathoplexus  database  was  searched  on  2  July  2026 and a total of 166 Sudan virus genomes, 3,388 Ebola  virus  genomes,  and  49 Bundibugyo  virus  genomes, was  obtained;  Fifteen Bundibugyo  virus  genomes  represent  isolates  from  Uganda  in  the  2026  outbreak, all  analyses  were   conducted   in   each   Orthoebolavirus species. Temporal  structure  was  assessed  using  a  RTT  regression  framework and RTT  distances  were  estimated  using TreeTime (version 0.9.4) and used as input for downstream statistical analyses. Phylogenetic trees were  rooted  using  a  least-square  approach.  Temporal signal  was  evaluated  by  regressing  TreeTime-derived RTT  distances  against  sampling  dates  using  ordinary  least    squares    (OLS),    with    the    coefficient    of    determination (R2) used as a measurement of clock-like behavior.</v>
      </c>
      <c r="L164" s="13"/>
      <c r="N164" s="17" t="str">
        <f t="shared" si="36"/>
        <v>https://doi.org/10.3855/jidc.23736</v>
      </c>
      <c r="O164" s="20">
        <v>656</v>
      </c>
      <c r="P164" s="20" t="s">
        <v>1139</v>
      </c>
      <c r="Q164" s="20" t="s">
        <v>1140</v>
      </c>
      <c r="R164" s="20" t="s">
        <v>1141</v>
      </c>
      <c r="S164" s="20" t="s">
        <v>1142</v>
      </c>
      <c r="T164" s="20" t="s">
        <v>266</v>
      </c>
      <c r="U164" s="2"/>
      <c r="V164" s="20" t="s">
        <v>267</v>
      </c>
      <c r="W164" s="2"/>
      <c r="X164" s="20" t="s">
        <v>1143</v>
      </c>
      <c r="Y164" s="2"/>
      <c r="Z164" s="20" t="s">
        <v>21</v>
      </c>
      <c r="AA164" s="2"/>
      <c r="AB164" s="2"/>
      <c r="AC164" s="2"/>
      <c r="AD164" s="20" t="s">
        <v>352</v>
      </c>
      <c r="AE164" s="2"/>
      <c r="AF164" s="20" t="s">
        <v>270</v>
      </c>
      <c r="AG164" s="2"/>
      <c r="AH164" s="2"/>
      <c r="AI164" s="20" t="s">
        <v>271</v>
      </c>
      <c r="AJ164" s="2"/>
      <c r="AK164" s="20" t="s">
        <v>272</v>
      </c>
      <c r="AL164" s="2"/>
      <c r="AM164" s="2"/>
      <c r="AN164" s="2"/>
      <c r="AO164" s="2"/>
      <c r="AP164" s="20" t="s">
        <v>1144</v>
      </c>
      <c r="AQ164" s="2"/>
      <c r="AR164" s="20" t="s">
        <v>37</v>
      </c>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0" t="s">
        <v>77</v>
      </c>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0" t="s">
        <v>73</v>
      </c>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0" t="s">
        <v>73</v>
      </c>
      <c r="EW164" s="2"/>
      <c r="EX164" s="2"/>
      <c r="EY164" s="2"/>
      <c r="EZ164" s="2"/>
      <c r="FA164" s="2"/>
      <c r="FB164" s="2"/>
      <c r="FC164" s="2"/>
      <c r="FD164" s="2"/>
      <c r="FE164" s="2"/>
      <c r="FF164" s="2"/>
      <c r="FG164" s="2"/>
      <c r="FH164" s="2"/>
      <c r="FI164" s="2"/>
      <c r="FJ164" s="2"/>
      <c r="FK164" s="2"/>
      <c r="FL164" s="2"/>
      <c r="FM164" s="2"/>
      <c r="FN164" s="2"/>
      <c r="FO164" s="2"/>
      <c r="FP164" s="2"/>
      <c r="FQ164" s="2"/>
      <c r="FR164" s="20" t="s">
        <v>73</v>
      </c>
      <c r="FS164" s="2"/>
      <c r="FT164" s="2"/>
      <c r="FU164" s="2"/>
      <c r="FV164" s="2"/>
      <c r="FW164" s="2"/>
      <c r="FX164" s="2"/>
      <c r="FY164" s="2"/>
      <c r="FZ164" s="2"/>
      <c r="GA164" s="2"/>
      <c r="GB164" s="2"/>
      <c r="GC164" s="2"/>
      <c r="GD164" s="2"/>
      <c r="GE164" s="2"/>
      <c r="GF164" s="20" t="s">
        <v>73</v>
      </c>
      <c r="GG164" s="2"/>
      <c r="GH164" s="2"/>
      <c r="GI164" s="2"/>
      <c r="GJ164" s="2"/>
      <c r="GK164" s="2"/>
      <c r="GL164" s="2"/>
      <c r="GM164" s="2"/>
      <c r="GN164" s="2"/>
      <c r="GO164" s="2"/>
      <c r="GP164" s="20" t="s">
        <v>73</v>
      </c>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0" t="s">
        <v>73</v>
      </c>
      <c r="HS164" s="2"/>
      <c r="HT164" s="2"/>
      <c r="HU164" s="2"/>
      <c r="HV164" s="2"/>
      <c r="HW164" s="2"/>
      <c r="HX164" s="2"/>
      <c r="HY164" s="2"/>
      <c r="HZ164" s="2"/>
      <c r="IA164" s="2"/>
      <c r="IB164" s="20" t="s">
        <v>73</v>
      </c>
      <c r="IC164" s="2"/>
      <c r="ID164" s="2"/>
      <c r="IE164" s="2"/>
      <c r="IF164" s="2"/>
      <c r="IG164" s="2"/>
      <c r="IH164" s="2"/>
      <c r="II164" s="2"/>
      <c r="IJ164" s="20" t="s">
        <v>73</v>
      </c>
      <c r="IK164" s="2"/>
      <c r="IL164" s="2"/>
      <c r="IM164" s="2"/>
      <c r="IN164" s="2"/>
      <c r="IO164" s="2"/>
      <c r="IP164" s="2"/>
      <c r="IQ164" s="2"/>
      <c r="IR164" s="20" t="s">
        <v>227</v>
      </c>
      <c r="IS164" s="2"/>
      <c r="IT164" s="2"/>
      <c r="IU164" s="2"/>
      <c r="IV164" s="2"/>
      <c r="IW164" s="2"/>
      <c r="IX164" s="20" t="s">
        <v>73</v>
      </c>
      <c r="IY164" s="2"/>
      <c r="IZ164" s="2"/>
      <c r="JA164" s="2"/>
      <c r="JB164" s="20" t="s">
        <v>73</v>
      </c>
      <c r="JC164" s="2"/>
      <c r="JD164" s="2"/>
      <c r="JE164" s="2"/>
      <c r="JF164" s="20" t="s">
        <v>73</v>
      </c>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0" t="s">
        <v>73</v>
      </c>
      <c r="KG164" s="2"/>
      <c r="KH164" s="20" t="s">
        <v>1145</v>
      </c>
      <c r="KI164" s="2"/>
      <c r="KJ164" s="20" t="s">
        <v>1146</v>
      </c>
      <c r="KK164" s="2"/>
    </row>
    <row r="165" spans="1:297" ht="60" customHeight="1" x14ac:dyDescent="0.25">
      <c r="A165" s="5" t="str">
        <f t="shared" ref="A165:A178" si="37">P165</f>
        <v xml:space="preserve">Martin, et al, (2026) </v>
      </c>
      <c r="B165" s="18" t="str">
        <f t="shared" ref="B165:B178" si="38">HYPERLINK(N165, Q165)</f>
        <v>AI-Driven Discovery and BSL-4 Validation of Cross-Filovirus Ebola-Marburg Inhibitors and their Synergistic Combinations</v>
      </c>
      <c r="C165" s="19" t="str">
        <f t="shared" ref="C165:C178" si="39">_xlfn.TEXTJOIN(", ", TRUE, AK165,CD165:CX165,AI165, AG165)</f>
        <v>Primary - article, Experimental, Preprint</v>
      </c>
      <c r="D165" s="19" t="str">
        <f t="shared" ref="D165:D178" si="40">_xlfn.TEXTJOIN(", ", TRUE, Z165, AB165)</f>
        <v>Bundibugyo</v>
      </c>
      <c r="E165" s="19" t="str">
        <f t="shared" ref="E165:E178" si="41">AD165</f>
        <v>Yes</v>
      </c>
      <c r="F165" s="19" t="str">
        <f t="shared" ref="F165:F178" si="42">_xlfn.TEXTJOIN("", TRUE, AM165,AP165)</f>
        <v>This study reports a  computationally guided, infectious virus validated screening platform for the rapid discovery of broad-spectrum filovirus antivirals, reducing an initial library of 142,382 compounds to 23 experimentally validated pan-filovirus inhibitors with favorable selectivity profiles and activity against both Ebola and Marburg viruses. Docking analyses suggested that many active compounds target conserved viral proteins, particularly VP35 and the L polymerase, and combination testing identified three synergistic drug pairs, led by NCGC00113249-01 and NCGC00118008-01, as promising broad-spectrum filovirus therapeutics.</v>
      </c>
      <c r="G165" s="19" t="str">
        <f t="shared" ref="G165:G178" si="43">_xlfn.TEXTJOIN("; ", TRUE, DX165:EU165,EX165:FQ165, FT165:GE165, GH165:GO165, GR165:HP165, HT165:HZ165, ID165:IH165, IL165:IR165, IV165, IZ165, JD165, JH165:KD165)</f>
        <v>pathogen  Protein-inhibitor/binding interactions</v>
      </c>
      <c r="H165" s="19" t="str">
        <f t="shared" ref="H165:H178" si="44">_xlfn.TEXTJOIN(", ", TRUE,AR165:BZ165)</f>
        <v>Human - General population</v>
      </c>
      <c r="I165" s="19" t="str">
        <f t="shared" ref="I165:I178" si="45">_xlfn.TEXTJOIN(", ", TRUE,DB165:DU165)</f>
        <v/>
      </c>
      <c r="J165" s="5" t="str">
        <f t="shared" ref="J165:J178" si="46">_xlfn.TEXTJOIN(", ", TRUE, KH165)</f>
        <v>Therapeutics: Dose–response and viability profiling identified 23 compounds exhibiting potent, low-micromolar pan-filovirus activity and favorable cytotoxicity profiles. The most compelling single-agent candidates were those that combined three properties: measurable activity against both MARV and EBOV, acceptable selectivity indices, and a putative target assignment involving a conserved viral function. Based on combined potency, selectivity, cross-virus activity, and target-hypothesis support, compounds NCGC00111944-01, NCGC00100643-01, NCGC00111940-01, and NCGC00134663-01 were prioritized as the strongest non-control single-agent candidates for follow-up evaluation. The most important finding was that three compound pairs showed concordant synergy across both the MARV and EBOV assays, indicating that these interactions were not restricted to a single filovirus background.
Protein-inhibitor/binding interactions: For each of the selected compounds, the viral protein presenting the highest normalized consensus score, calculated as the arithmetic mean of scaled scores across EBOV and MARV homologous structures, was defined as the predicted primary target. Based on this criterion, the docking-based target assignment revealed a distinct distribution, with a significant preference for VP35, L protein, GP, and VP40. Specifically, among final 38 hits, the L protein and VP35 were identified as the top-ranked target (12 and 11 compounds, respectively), followed by the GP (8 compounds), and VP40 (6 compounds). The strongest and most reproducible cross-virus interaction was observed for NCGC00113249-01 + NCGC00118008-01. This pair showed the most favorable Bliss synergy profile across MARV and also ranked as the strongest EBOV synergistic pair. The interaction is mechanistically plausible because NCGC00113249-01 was computationally assigned to GP, whereas NCGC00118008-01 was assigned to the L protein. “Molecular docking indicates these compounds target conserved structural and functional domains—primarily the VP35 and L proteins—which may disrupt essential viral replication and immune antagonism.</v>
      </c>
      <c r="K165" s="5" t="str">
        <f t="shared" ref="K165:K178" si="47">_xlfn.TEXTJOIN(", ", TRUE, KJ165)</f>
        <v>The study developed and validated QSAR (machine-learning) models for Marburg virus using two curated PubChem screening datasets. After extensive biological and chemical curation, 5,240 compounds (509 active, 4,731 inactive) were retained, and Random Forest models using extended-connectivity fingerprints with a radius of 2 (ECFP2) and Molecular ACCess System (MACCS)  fingerprints were trained with an emphasis on maximizing positive predictive value for virtual screening.
These models were applied to two NCATS libraries (&gt;142,000 compounds total), and compounds were prioritized based on predicted antiviral activity against both Marburg and Ebola viruses, low predicted cytotoxicity, applicability-domain reliability, and chemical diversity. Selected compounds were further analyzed by molecular docking against conserved viral proteins, tested experimentally in BSL-4 laboratories, and evaluated individually and in combinations for antiviral activity, cytotoxicity, and potential synergistic effects using Bliss independence analysis,</v>
      </c>
      <c r="N165" s="2" t="str">
        <f t="shared" ref="N165:N178" si="48">IF(ISBLANK(R165),X165,_xlfn.CONCAT($N$1,R165))</f>
        <v>https://doi.org/10.64898/2026.07.09.737586</v>
      </c>
      <c r="O165" s="20">
        <v>657</v>
      </c>
      <c r="P165" s="20" t="s">
        <v>1396</v>
      </c>
      <c r="Q165" s="20" t="s">
        <v>1147</v>
      </c>
      <c r="R165" s="20" t="s">
        <v>1148</v>
      </c>
      <c r="S165" s="20" t="s">
        <v>1149</v>
      </c>
      <c r="T165" s="20" t="s">
        <v>266</v>
      </c>
      <c r="U165" s="2"/>
      <c r="V165" s="20" t="s">
        <v>267</v>
      </c>
      <c r="W165" s="2"/>
      <c r="X165" s="20" t="s">
        <v>1150</v>
      </c>
      <c r="Y165" s="2"/>
      <c r="Z165" s="20" t="s">
        <v>21</v>
      </c>
      <c r="AA165" s="2"/>
      <c r="AB165" s="2"/>
      <c r="AC165" s="2"/>
      <c r="AD165" s="20" t="s">
        <v>352</v>
      </c>
      <c r="AE165" s="2"/>
      <c r="AF165" s="20" t="s">
        <v>270</v>
      </c>
      <c r="AG165" s="2"/>
      <c r="AH165" s="2"/>
      <c r="AI165" s="20" t="s">
        <v>353</v>
      </c>
      <c r="AJ165" s="2"/>
      <c r="AK165" s="20" t="s">
        <v>272</v>
      </c>
      <c r="AL165" s="2"/>
      <c r="AM165" s="2"/>
      <c r="AN165" s="2"/>
      <c r="AO165" s="2"/>
      <c r="AP165" s="20" t="s">
        <v>1151</v>
      </c>
      <c r="AQ165" s="2"/>
      <c r="AR165" s="20" t="s">
        <v>37</v>
      </c>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0" t="s">
        <v>79</v>
      </c>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0" t="s">
        <v>73</v>
      </c>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0" t="s">
        <v>73</v>
      </c>
      <c r="EW165" s="2"/>
      <c r="EX165" s="2"/>
      <c r="EY165" s="2"/>
      <c r="EZ165" s="2"/>
      <c r="FA165" s="2"/>
      <c r="FB165" s="2"/>
      <c r="FC165" s="2"/>
      <c r="FD165" s="2"/>
      <c r="FE165" s="2"/>
      <c r="FF165" s="2"/>
      <c r="FG165" s="2"/>
      <c r="FH165" s="2"/>
      <c r="FI165" s="2"/>
      <c r="FJ165" s="2"/>
      <c r="FK165" s="2"/>
      <c r="FL165" s="2"/>
      <c r="FM165" s="2"/>
      <c r="FN165" s="2"/>
      <c r="FO165" s="2"/>
      <c r="FP165" s="2"/>
      <c r="FQ165" s="2"/>
      <c r="FR165" s="20" t="s">
        <v>73</v>
      </c>
      <c r="FS165" s="2"/>
      <c r="FT165" s="2"/>
      <c r="FU165" s="2"/>
      <c r="FV165" s="2"/>
      <c r="FW165" s="2"/>
      <c r="FX165" s="2"/>
      <c r="FY165" s="2"/>
      <c r="FZ165" s="2"/>
      <c r="GA165" s="2"/>
      <c r="GB165" s="2"/>
      <c r="GC165" s="2"/>
      <c r="GD165" s="2"/>
      <c r="GE165" s="2"/>
      <c r="GF165" s="20" t="s">
        <v>73</v>
      </c>
      <c r="GG165" s="2"/>
      <c r="GH165" s="2"/>
      <c r="GI165" s="2"/>
      <c r="GJ165" s="2"/>
      <c r="GK165" s="2"/>
      <c r="GL165" s="2"/>
      <c r="GM165" s="2"/>
      <c r="GN165" s="2"/>
      <c r="GO165" s="2"/>
      <c r="GP165" s="20" t="s">
        <v>73</v>
      </c>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0" t="s">
        <v>73</v>
      </c>
      <c r="HS165" s="2"/>
      <c r="HT165" s="2"/>
      <c r="HU165" s="2"/>
      <c r="HV165" s="2"/>
      <c r="HW165" s="2"/>
      <c r="HX165" s="2"/>
      <c r="HY165" s="2"/>
      <c r="HZ165" s="2"/>
      <c r="IA165" s="2"/>
      <c r="IB165" s="20" t="s">
        <v>73</v>
      </c>
      <c r="IC165" s="2"/>
      <c r="ID165" s="2"/>
      <c r="IE165" s="2"/>
      <c r="IF165" s="2"/>
      <c r="IG165" s="2"/>
      <c r="IH165" s="2"/>
      <c r="II165" s="2"/>
      <c r="IJ165" s="20" t="s">
        <v>73</v>
      </c>
      <c r="IK165" s="2"/>
      <c r="IL165" s="2"/>
      <c r="IM165" s="2"/>
      <c r="IN165" s="2"/>
      <c r="IO165" s="2"/>
      <c r="IP165" s="20" t="s">
        <v>225</v>
      </c>
      <c r="IQ165" s="2"/>
      <c r="IR165" s="2"/>
      <c r="IS165" s="2"/>
      <c r="IT165" s="2"/>
      <c r="IU165" s="2"/>
      <c r="IV165" s="2"/>
      <c r="IW165" s="2"/>
      <c r="IX165" s="20" t="s">
        <v>73</v>
      </c>
      <c r="IY165" s="2"/>
      <c r="IZ165" s="2"/>
      <c r="JA165" s="2"/>
      <c r="JB165" s="20" t="s">
        <v>73</v>
      </c>
      <c r="JC165" s="2"/>
      <c r="JD165" s="2"/>
      <c r="JE165" s="2"/>
      <c r="JF165" s="20" t="s">
        <v>73</v>
      </c>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0" t="s">
        <v>73</v>
      </c>
      <c r="KG165" s="2"/>
      <c r="KH165" s="20" t="s">
        <v>1152</v>
      </c>
      <c r="KI165" s="2"/>
      <c r="KJ165" s="20" t="s">
        <v>1153</v>
      </c>
      <c r="KK165" s="2"/>
    </row>
    <row r="166" spans="1:297" ht="60" customHeight="1" x14ac:dyDescent="0.25">
      <c r="A166" s="5" t="str">
        <f>P166</f>
        <v>Zhang, et al, (2026), Infectious medicine</v>
      </c>
      <c r="B166" s="18" t="str">
        <f t="shared" si="38"/>
        <v>The 2026 Bundibugyo virus disease outbreak in the Democratic Republic of the Congo: Virology, epidemiology, continental response, and research priorities</v>
      </c>
      <c r="C166" s="19" t="str">
        <f t="shared" si="39"/>
        <v>Lit review, Peer-reviewed publication</v>
      </c>
      <c r="D166" s="19" t="str">
        <f t="shared" si="40"/>
        <v>Bundibugyo</v>
      </c>
      <c r="E166" s="19" t="str">
        <f t="shared" si="41"/>
        <v>Yes</v>
      </c>
      <c r="F166" s="19" t="str">
        <f t="shared" si="42"/>
        <v/>
      </c>
      <c r="G166" s="19" t="str">
        <f t="shared" si="43"/>
        <v/>
      </c>
      <c r="H166" s="19" t="str">
        <f t="shared" si="44"/>
        <v/>
      </c>
      <c r="I166" s="19" t="str">
        <f t="shared" si="45"/>
        <v/>
      </c>
      <c r="J166" s="5" t="str">
        <f t="shared" si="46"/>
        <v/>
      </c>
      <c r="K166" s="5" t="str">
        <f t="shared" si="47"/>
        <v/>
      </c>
      <c r="N166" s="2" t="str">
        <f t="shared" si="48"/>
        <v>https://doi.org/10.1016/j.imj.2026.100270</v>
      </c>
      <c r="O166" s="20">
        <v>658</v>
      </c>
      <c r="P166" s="20" t="s">
        <v>1154</v>
      </c>
      <c r="Q166" s="20" t="s">
        <v>1155</v>
      </c>
      <c r="R166" s="20" t="s">
        <v>1156</v>
      </c>
      <c r="S166" s="20" t="s">
        <v>1157</v>
      </c>
      <c r="T166" s="20" t="s">
        <v>266</v>
      </c>
      <c r="U166" s="2"/>
      <c r="V166" s="20">
        <v>2</v>
      </c>
      <c r="W166" s="2"/>
      <c r="X166" s="20" t="s">
        <v>1158</v>
      </c>
      <c r="Y166" s="2"/>
      <c r="Z166" s="20" t="s">
        <v>21</v>
      </c>
      <c r="AA166" s="2"/>
      <c r="AB166" s="2"/>
      <c r="AC166" s="2"/>
      <c r="AD166" s="20" t="s">
        <v>352</v>
      </c>
      <c r="AE166" s="2"/>
      <c r="AF166" s="20" t="s">
        <v>270</v>
      </c>
      <c r="AG166" s="2"/>
      <c r="AH166" s="2"/>
      <c r="AI166" s="20" t="s">
        <v>271</v>
      </c>
      <c r="AJ166" s="2"/>
      <c r="AK166" s="20" t="s">
        <v>346</v>
      </c>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row>
    <row r="167" spans="1:297" ht="60" customHeight="1" x14ac:dyDescent="0.25">
      <c r="A167" s="5" t="str">
        <f t="shared" si="37"/>
        <v xml:space="preserve">Gacayan, et al, (2026) </v>
      </c>
      <c r="B167" s="18" t="str">
        <f t="shared" si="38"/>
        <v>Rapid, Large-Scale and Multi-Species Phylogenomic Analysis of Orthoebolaviruses Using Covary</v>
      </c>
      <c r="C167" s="19" t="str">
        <f t="shared" si="39"/>
        <v>Primary - article, Descriptive, Preprint</v>
      </c>
      <c r="D167" s="19" t="str">
        <f t="shared" si="40"/>
        <v>Bundibugyo</v>
      </c>
      <c r="E167" s="19" t="str">
        <f t="shared" si="41"/>
        <v>Yes</v>
      </c>
      <c r="F167" s="19" t="str">
        <f t="shared" si="42"/>
        <v>This study evaluated Covary, a translation-aware and alignment-free computational framework, for the phylogenomic analysis of 728 complete Orthoebolavirus genomes representing six Orthoebolavirus species including Orthomarburgvirus  bundibugyoense. Orthoebolavirus bundibugyoense consistently formed a distinct, taxonomically coherent species-level cluster across t-SNE visualization, hierarchical clustering, and heatmap analyses; unlike the highly heterogeneous O. zairense, Bundibugyo ebolavirus showed relatively conserved genome-wide similarity, indicating that Covary effectively recovered biologically meaningful relationships among Bundibugyo virus genomes</v>
      </c>
      <c r="G167" s="19" t="str">
        <f t="shared" si="43"/>
        <v>Phylogenetic analysis/molecular epidemiology</v>
      </c>
      <c r="H167" s="19" t="str">
        <f t="shared" si="44"/>
        <v>Human - General population</v>
      </c>
      <c r="I167" s="19" t="str">
        <f t="shared" si="45"/>
        <v/>
      </c>
      <c r="J167" s="5" t="str">
        <f t="shared" si="46"/>
        <v>Phylogenetic analysis/molecular epidemiology: The clustering patterns recovered by the dendrogram were consistent with the species distributions observed in the t-SNE projection. Bundibugyo ebolavirus formed a distinct cluster with minimal overlap with other filovirus species in the t-SNE projection of translation-aware genome embeddings. Genomes belonging to Bundibugyo ebolavirus shared similar genomic signatures, indicating that Covary successfully captured biologically meaningful species-level relationships without sequence alignment. After removing the highly diverse Orthoebolavirus zairense genomes, Bundibugyo ebolavirus continued to form a distinct and taxonomically consistent cluster, further supporting the ability of the framework to recover expected species-level relationships. Pairwise-distance heatmaps showed that Bundibugyo ebolavirus formed a coherent block-like similarity pattern, similar to Sudan, Reston, and Taï Forest ebolaviruses. This pattern indicated relatively conserved genome-wide similarity among Bundibugyo virus genomes compared with the much greater heterogeneity observed in O. zairense</v>
      </c>
      <c r="K167" s="5" t="str">
        <f t="shared" si="47"/>
        <v>750 complete genomes representing six Orthoebolavirus species and 97 Orthomarburgvirus marburgense genomes were compiled as an outgroup from the NCBI Viral Genomes Resource. After applying quality filters and excluding sequences with ambiguous nucleotides, 728 genomes were retained and analyzed using Covary to generate whole-genome embeddings for large-scale comparative analysis. Genome-wide relationships were assessed using pairwise Euclidean distances, outlier detection, and heatmap visualization, while t-SNE was used to visualize species-level clustering in reduced dimensions. Finally, complete-linkage hierarchical clustering based on embedding-derived distances was used to reconstruct a phylogenomic dendrogram and evaluate evolutionary relationships among Ebola and Marburg virus genomes.</v>
      </c>
      <c r="N167" s="2" t="str">
        <f t="shared" si="48"/>
        <v>https://doi.org/10.20944/preprints202607.0617.v1</v>
      </c>
      <c r="O167" s="20">
        <v>661</v>
      </c>
      <c r="P167" s="20" t="s">
        <v>1397</v>
      </c>
      <c r="Q167" s="20" t="s">
        <v>1159</v>
      </c>
      <c r="R167" s="20" t="s">
        <v>1160</v>
      </c>
      <c r="S167" s="20" t="s">
        <v>1161</v>
      </c>
      <c r="T167" s="20" t="s">
        <v>266</v>
      </c>
      <c r="U167" s="2"/>
      <c r="V167" s="20" t="s">
        <v>267</v>
      </c>
      <c r="W167" s="2"/>
      <c r="X167" s="20" t="s">
        <v>1162</v>
      </c>
      <c r="Y167" s="2"/>
      <c r="Z167" s="20" t="s">
        <v>21</v>
      </c>
      <c r="AA167" s="2"/>
      <c r="AB167" s="2"/>
      <c r="AC167" s="2"/>
      <c r="AD167" s="20" t="s">
        <v>352</v>
      </c>
      <c r="AE167" s="2"/>
      <c r="AF167" s="20" t="s">
        <v>270</v>
      </c>
      <c r="AG167" s="2"/>
      <c r="AH167" s="2"/>
      <c r="AI167" s="20" t="s">
        <v>353</v>
      </c>
      <c r="AJ167" s="2"/>
      <c r="AK167" s="20" t="s">
        <v>272</v>
      </c>
      <c r="AL167" s="2"/>
      <c r="AM167" s="2"/>
      <c r="AN167" s="2"/>
      <c r="AO167" s="2"/>
      <c r="AP167" s="20" t="s">
        <v>1163</v>
      </c>
      <c r="AQ167" s="2"/>
      <c r="AR167" s="20" t="s">
        <v>37</v>
      </c>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0" t="s">
        <v>77</v>
      </c>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0" t="s">
        <v>73</v>
      </c>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0" t="s">
        <v>73</v>
      </c>
      <c r="EW167" s="2"/>
      <c r="EX167" s="2"/>
      <c r="EY167" s="2"/>
      <c r="EZ167" s="2"/>
      <c r="FA167" s="2"/>
      <c r="FB167" s="2"/>
      <c r="FC167" s="2"/>
      <c r="FD167" s="2"/>
      <c r="FE167" s="2"/>
      <c r="FF167" s="2"/>
      <c r="FG167" s="2"/>
      <c r="FH167" s="2"/>
      <c r="FI167" s="2"/>
      <c r="FJ167" s="2"/>
      <c r="FK167" s="2"/>
      <c r="FL167" s="2"/>
      <c r="FM167" s="2"/>
      <c r="FN167" s="2"/>
      <c r="FO167" s="2"/>
      <c r="FP167" s="2"/>
      <c r="FQ167" s="2"/>
      <c r="FR167" s="20" t="s">
        <v>73</v>
      </c>
      <c r="FS167" s="2"/>
      <c r="FT167" s="2"/>
      <c r="FU167" s="2"/>
      <c r="FV167" s="2"/>
      <c r="FW167" s="2"/>
      <c r="FX167" s="2"/>
      <c r="FY167" s="2"/>
      <c r="FZ167" s="2"/>
      <c r="GA167" s="2"/>
      <c r="GB167" s="2"/>
      <c r="GC167" s="2"/>
      <c r="GD167" s="2"/>
      <c r="GE167" s="2"/>
      <c r="GF167" s="20" t="s">
        <v>73</v>
      </c>
      <c r="GG167" s="2"/>
      <c r="GH167" s="2"/>
      <c r="GI167" s="2"/>
      <c r="GJ167" s="2"/>
      <c r="GK167" s="2"/>
      <c r="GL167" s="2"/>
      <c r="GM167" s="2"/>
      <c r="GN167" s="2"/>
      <c r="GO167" s="2"/>
      <c r="GP167" s="20" t="s">
        <v>73</v>
      </c>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0" t="s">
        <v>73</v>
      </c>
      <c r="HS167" s="2"/>
      <c r="HT167" s="2"/>
      <c r="HU167" s="2"/>
      <c r="HV167" s="2"/>
      <c r="HW167" s="2"/>
      <c r="HX167" s="2"/>
      <c r="HY167" s="2"/>
      <c r="HZ167" s="2"/>
      <c r="IA167" s="2"/>
      <c r="IB167" s="20" t="s">
        <v>73</v>
      </c>
      <c r="IC167" s="2"/>
      <c r="ID167" s="2"/>
      <c r="IE167" s="2"/>
      <c r="IF167" s="2"/>
      <c r="IG167" s="2"/>
      <c r="IH167" s="2"/>
      <c r="II167" s="2"/>
      <c r="IJ167" s="20" t="s">
        <v>73</v>
      </c>
      <c r="IK167" s="2"/>
      <c r="IL167" s="2"/>
      <c r="IM167" s="2"/>
      <c r="IN167" s="2"/>
      <c r="IO167" s="2"/>
      <c r="IP167" s="2"/>
      <c r="IQ167" s="2"/>
      <c r="IR167" s="20" t="s">
        <v>227</v>
      </c>
      <c r="IS167" s="2"/>
      <c r="IT167" s="2"/>
      <c r="IU167" s="2"/>
      <c r="IV167" s="2"/>
      <c r="IW167" s="2"/>
      <c r="IX167" s="20" t="s">
        <v>73</v>
      </c>
      <c r="IY167" s="2"/>
      <c r="IZ167" s="2"/>
      <c r="JA167" s="2"/>
      <c r="JB167" s="20" t="s">
        <v>73</v>
      </c>
      <c r="JC167" s="2"/>
      <c r="JD167" s="2"/>
      <c r="JE167" s="2"/>
      <c r="JF167" s="20" t="s">
        <v>73</v>
      </c>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0" t="s">
        <v>73</v>
      </c>
      <c r="KG167" s="2"/>
      <c r="KH167" s="20" t="s">
        <v>1164</v>
      </c>
      <c r="KI167" s="2"/>
      <c r="KJ167" s="20" t="s">
        <v>1165</v>
      </c>
      <c r="KK167" s="2"/>
    </row>
    <row r="168" spans="1:297" ht="60" customHeight="1" x14ac:dyDescent="0.25">
      <c r="A168" s="5" t="str">
        <f t="shared" si="37"/>
        <v>Tonen-WolyecS, et al, (2026), The Lancet</v>
      </c>
      <c r="B168" s="18" t="str">
        <f t="shared" si="38"/>
        <v>The 17th Ebola outbreak in the Democratic Republic of the Congo: a syndemic challenge</v>
      </c>
      <c r="C168" s="19" t="str">
        <f t="shared" si="39"/>
        <v>Commentary, Peer-reviewed publication</v>
      </c>
      <c r="D168" s="19" t="str">
        <f t="shared" si="40"/>
        <v>Bundibugyo</v>
      </c>
      <c r="E168" s="19" t="str">
        <f t="shared" si="41"/>
        <v>Yes</v>
      </c>
      <c r="F168" s="19" t="str">
        <f t="shared" si="42"/>
        <v/>
      </c>
      <c r="G168" s="19" t="str">
        <f t="shared" si="43"/>
        <v/>
      </c>
      <c r="H168" s="19" t="str">
        <f t="shared" si="44"/>
        <v/>
      </c>
      <c r="I168" s="19" t="str">
        <f t="shared" si="45"/>
        <v/>
      </c>
      <c r="J168" s="5" t="str">
        <f t="shared" si="46"/>
        <v/>
      </c>
      <c r="K168" s="5" t="str">
        <f t="shared" si="47"/>
        <v/>
      </c>
      <c r="N168" s="2" t="str">
        <f t="shared" si="48"/>
        <v>https://doi.org/10.1016/S0140-6736</v>
      </c>
      <c r="O168" s="20">
        <v>668</v>
      </c>
      <c r="P168" s="20" t="s">
        <v>1166</v>
      </c>
      <c r="Q168" s="20" t="s">
        <v>1167</v>
      </c>
      <c r="R168" s="20" t="s">
        <v>847</v>
      </c>
      <c r="S168" s="20" t="s">
        <v>1168</v>
      </c>
      <c r="T168" s="20" t="s">
        <v>266</v>
      </c>
      <c r="U168" s="2"/>
      <c r="V168" s="20">
        <v>2</v>
      </c>
      <c r="W168" s="2"/>
      <c r="X168" s="20" t="s">
        <v>1169</v>
      </c>
      <c r="Y168" s="2"/>
      <c r="Z168" s="20" t="s">
        <v>21</v>
      </c>
      <c r="AA168" s="2"/>
      <c r="AB168" s="2"/>
      <c r="AC168" s="2"/>
      <c r="AD168" s="20" t="s">
        <v>352</v>
      </c>
      <c r="AE168" s="2"/>
      <c r="AF168" s="20" t="s">
        <v>270</v>
      </c>
      <c r="AG168" s="2"/>
      <c r="AH168" s="2"/>
      <c r="AI168" s="20" t="s">
        <v>271</v>
      </c>
      <c r="AJ168" s="2"/>
      <c r="AK168" s="20" t="s">
        <v>425</v>
      </c>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row>
    <row r="169" spans="1:297" ht="60" customHeight="1" x14ac:dyDescent="0.25">
      <c r="A169" s="5" t="str">
        <f t="shared" si="37"/>
        <v>HertelendyAJ, et al, (2026), The Lancet Regional Health - Americas</v>
      </c>
      <c r="B169" s="18" t="str">
        <f t="shared" si="38"/>
        <v>From reactive to resilient: leveraging artificial intelligence for pandemic preparedness amid converging global threats</v>
      </c>
      <c r="C169" s="19" t="str">
        <f t="shared" si="39"/>
        <v>Commentary, Peer-reviewed publication</v>
      </c>
      <c r="D169" s="19" t="str">
        <f t="shared" si="40"/>
        <v>Bundibugyo</v>
      </c>
      <c r="E169" s="19" t="str">
        <f t="shared" si="41"/>
        <v>Yes</v>
      </c>
      <c r="F169" s="19" t="str">
        <f t="shared" si="42"/>
        <v/>
      </c>
      <c r="G169" s="19" t="str">
        <f t="shared" si="43"/>
        <v/>
      </c>
      <c r="H169" s="19" t="str">
        <f t="shared" si="44"/>
        <v/>
      </c>
      <c r="I169" s="19" t="str">
        <f t="shared" si="45"/>
        <v/>
      </c>
      <c r="J169" s="5" t="str">
        <f t="shared" si="46"/>
        <v/>
      </c>
      <c r="K169" s="5" t="str">
        <f t="shared" si="47"/>
        <v/>
      </c>
      <c r="N169" s="2" t="str">
        <f t="shared" si="48"/>
        <v>https://doi.org/10.1016/j.lana.2026.101533</v>
      </c>
      <c r="O169" s="20">
        <v>671</v>
      </c>
      <c r="P169" s="20" t="s">
        <v>1170</v>
      </c>
      <c r="Q169" s="20" t="s">
        <v>1171</v>
      </c>
      <c r="R169" s="20" t="s">
        <v>1172</v>
      </c>
      <c r="S169" s="20" t="s">
        <v>1173</v>
      </c>
      <c r="T169" s="20" t="s">
        <v>266</v>
      </c>
      <c r="U169" s="2"/>
      <c r="V169" s="20">
        <v>2</v>
      </c>
      <c r="W169" s="2"/>
      <c r="X169" s="20" t="s">
        <v>1174</v>
      </c>
      <c r="Y169" s="2"/>
      <c r="Z169" s="20" t="s">
        <v>21</v>
      </c>
      <c r="AA169" s="2"/>
      <c r="AB169" s="2"/>
      <c r="AC169" s="2"/>
      <c r="AD169" s="20" t="s">
        <v>352</v>
      </c>
      <c r="AE169" s="2"/>
      <c r="AF169" s="20" t="s">
        <v>270</v>
      </c>
      <c r="AG169" s="2"/>
      <c r="AH169" s="2"/>
      <c r="AI169" s="20" t="s">
        <v>271</v>
      </c>
      <c r="AJ169" s="2"/>
      <c r="AK169" s="20" t="s">
        <v>425</v>
      </c>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row>
    <row r="170" spans="1:297" ht="60" customHeight="1" x14ac:dyDescent="0.25">
      <c r="A170" s="5" t="str">
        <f t="shared" si="37"/>
        <v>daAscensaoGoncalvesMA, et al, (2026), The Lancet</v>
      </c>
      <c r="B170" s="18" t="str">
        <f t="shared" si="38"/>
        <v>Ebola outbreaks in DR Congo and Uganda: until when?</v>
      </c>
      <c r="C170" s="19" t="str">
        <f t="shared" si="39"/>
        <v>Commentary, Peer-reviewed publication</v>
      </c>
      <c r="D170" s="19" t="str">
        <f t="shared" si="40"/>
        <v>Bundibugyo</v>
      </c>
      <c r="E170" s="19" t="str">
        <f t="shared" si="41"/>
        <v>Yes</v>
      </c>
      <c r="F170" s="19" t="str">
        <f t="shared" si="42"/>
        <v/>
      </c>
      <c r="G170" s="19" t="str">
        <f t="shared" si="43"/>
        <v/>
      </c>
      <c r="H170" s="19" t="str">
        <f t="shared" si="44"/>
        <v/>
      </c>
      <c r="I170" s="19" t="str">
        <f t="shared" si="45"/>
        <v/>
      </c>
      <c r="J170" s="5" t="str">
        <f t="shared" si="46"/>
        <v/>
      </c>
      <c r="K170" s="5" t="str">
        <f t="shared" si="47"/>
        <v/>
      </c>
      <c r="N170" s="2" t="str">
        <f t="shared" si="48"/>
        <v>https://doi.org/10.1016/S0140-6736</v>
      </c>
      <c r="O170" s="20">
        <v>673</v>
      </c>
      <c r="P170" s="20" t="s">
        <v>1175</v>
      </c>
      <c r="Q170" s="20" t="s">
        <v>1176</v>
      </c>
      <c r="R170" s="20" t="s">
        <v>847</v>
      </c>
      <c r="S170" s="20" t="s">
        <v>1177</v>
      </c>
      <c r="T170" s="20" t="s">
        <v>266</v>
      </c>
      <c r="U170" s="2"/>
      <c r="V170" s="20">
        <v>2</v>
      </c>
      <c r="W170" s="2"/>
      <c r="X170" s="20" t="s">
        <v>1178</v>
      </c>
      <c r="Y170" s="2"/>
      <c r="Z170" s="20" t="s">
        <v>21</v>
      </c>
      <c r="AA170" s="2"/>
      <c r="AB170" s="2"/>
      <c r="AC170" s="2"/>
      <c r="AD170" s="20" t="s">
        <v>352</v>
      </c>
      <c r="AE170" s="2"/>
      <c r="AF170" s="20" t="s">
        <v>270</v>
      </c>
      <c r="AG170" s="2"/>
      <c r="AH170" s="2"/>
      <c r="AI170" s="20" t="s">
        <v>271</v>
      </c>
      <c r="AJ170" s="2"/>
      <c r="AK170" s="20" t="s">
        <v>425</v>
      </c>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row>
    <row r="171" spans="1:297" ht="60" customHeight="1" x14ac:dyDescent="0.25">
      <c r="A171" s="5" t="str">
        <f t="shared" si="37"/>
        <v xml:space="preserve">Public Health Agency of Canada (PHAC), (2026) </v>
      </c>
      <c r="B171" s="18" t="str">
        <f t="shared" si="38"/>
        <v>Risk assessment: Ebola disease caused by Bundibugyo virus in the Democratic Republic of the Congo and Uganda (effective 2026-07-07 to 2026-08-28)</v>
      </c>
      <c r="C171" s="19" t="str">
        <f t="shared" si="39"/>
        <v>Risk Assessment, Government report</v>
      </c>
      <c r="D171" s="19" t="str">
        <f t="shared" si="40"/>
        <v>Bundibugyo</v>
      </c>
      <c r="E171" s="19" t="str">
        <f t="shared" si="41"/>
        <v>Yes</v>
      </c>
      <c r="F171" s="19" t="str">
        <f t="shared" si="42"/>
        <v>The overall risk to Canada from importation of Bundibugyo virus until August 28, 2026 is low and should a case be imported into Canada, onward transmission is expected to be very limited. The likelihood of importation of Bundibugyo virus into Canada within the next 7 weeks via health care and humanitarian workers with potential for direct virus exposure in the outbreak-affected areas of the DRC is low (moderate uncertainty), given the low number of such personnel expected to be in these areas. The likelihood of importation via other persons in the outbreak-affected areas in the DRC is very low (moderate uncertainty); The likelihood of importation via travellers from currently unaffected areas is assessed as negligible (moderate uncertainty).  The impact on an affected individual is estimated to be severe (low uncertainty), given the serious clinical manifestations of BVD, the high case fatality rate, and lack of approved vaccines or antivirals and if importation into Canada were to occur, the impact of BVD on the general population in Canada would be minor (low uncertainty), reflecting the limited number of secondary cases that would be anticipated among close contacts as a result of both the characteristics of virus transmission and established public health measures.</v>
      </c>
      <c r="G171" s="19" t="str">
        <f t="shared" si="43"/>
        <v/>
      </c>
      <c r="H171" s="19" t="str">
        <f t="shared" si="44"/>
        <v/>
      </c>
      <c r="I171" s="19" t="str">
        <f t="shared" si="45"/>
        <v/>
      </c>
      <c r="J171" s="5" t="str">
        <f t="shared" si="46"/>
        <v/>
      </c>
      <c r="K171" s="5" t="str">
        <f t="shared" si="47"/>
        <v/>
      </c>
      <c r="N171" s="2" t="str">
        <f t="shared" si="48"/>
        <v>https://www.canada.ca/en/public-health/services/emergency-preparedness-response/rapid-risk-assessments-public-health-professionals/ebola-disease-bundibugyo-virus-democratic-republic-congo-uganda-2026-07-07.html</v>
      </c>
      <c r="O171" s="20">
        <v>690</v>
      </c>
      <c r="P171" s="20" t="s">
        <v>1398</v>
      </c>
      <c r="Q171" s="20" t="s">
        <v>1179</v>
      </c>
      <c r="R171" s="2"/>
      <c r="S171" s="20" t="s">
        <v>1180</v>
      </c>
      <c r="T171" s="20" t="s">
        <v>266</v>
      </c>
      <c r="U171" s="2"/>
      <c r="V171" s="20">
        <v>2</v>
      </c>
      <c r="W171" s="2"/>
      <c r="X171" s="20" t="s">
        <v>1180</v>
      </c>
      <c r="Y171" s="2"/>
      <c r="Z171" s="20" t="s">
        <v>21</v>
      </c>
      <c r="AA171" s="2"/>
      <c r="AB171" s="2"/>
      <c r="AC171" s="2"/>
      <c r="AD171" s="20" t="s">
        <v>352</v>
      </c>
      <c r="AE171" s="2"/>
      <c r="AF171" s="20" t="s">
        <v>270</v>
      </c>
      <c r="AG171" s="2"/>
      <c r="AH171" s="2"/>
      <c r="AI171" s="20" t="s">
        <v>437</v>
      </c>
      <c r="AJ171" s="2"/>
      <c r="AK171" s="20" t="s">
        <v>85</v>
      </c>
      <c r="AL171" s="2"/>
      <c r="AM171" s="20" t="s">
        <v>1181</v>
      </c>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row>
    <row r="172" spans="1:297" ht="60" customHeight="1" x14ac:dyDescent="0.25">
      <c r="A172" s="5" t="str">
        <f t="shared" si="37"/>
        <v xml:space="preserve">ECDC, (2026) </v>
      </c>
      <c r="B172" s="18" t="str">
        <f t="shared" si="38"/>
        <v>Communicable disease threats report, 6-10 July, Week 28</v>
      </c>
      <c r="C172" s="19" t="str">
        <f t="shared" si="39"/>
        <v>Other non-primary, Government report</v>
      </c>
      <c r="D172" s="19" t="str">
        <f t="shared" si="40"/>
        <v>Bundibugyo</v>
      </c>
      <c r="E172" s="19" t="str">
        <f t="shared" si="41"/>
        <v>Yes</v>
      </c>
      <c r="F172" s="19" t="str">
        <f t="shared" si="42"/>
        <v/>
      </c>
      <c r="G172" s="19" t="str">
        <f t="shared" si="43"/>
        <v/>
      </c>
      <c r="H172" s="19" t="str">
        <f t="shared" si="44"/>
        <v/>
      </c>
      <c r="I172" s="19" t="str">
        <f t="shared" si="45"/>
        <v/>
      </c>
      <c r="J172" s="5" t="str">
        <f t="shared" si="46"/>
        <v/>
      </c>
      <c r="K172" s="5" t="str">
        <f t="shared" si="47"/>
        <v/>
      </c>
      <c r="N172" s="2" t="str">
        <f t="shared" si="48"/>
        <v>https://www.ecdc.europa.eu/en/publications-data/communicable-disease-threats-report-6-10-july-2026-week-28</v>
      </c>
      <c r="O172" s="20">
        <v>691</v>
      </c>
      <c r="P172" s="20" t="s">
        <v>1364</v>
      </c>
      <c r="Q172" s="20" t="s">
        <v>1182</v>
      </c>
      <c r="R172" s="2"/>
      <c r="S172" s="20" t="s">
        <v>1183</v>
      </c>
      <c r="T172" s="20" t="s">
        <v>266</v>
      </c>
      <c r="U172" s="2"/>
      <c r="V172" s="20">
        <v>2</v>
      </c>
      <c r="W172" s="2"/>
      <c r="X172" s="20" t="s">
        <v>1183</v>
      </c>
      <c r="Y172" s="2"/>
      <c r="Z172" s="20" t="s">
        <v>21</v>
      </c>
      <c r="AA172" s="2"/>
      <c r="AB172" s="2"/>
      <c r="AC172" s="2"/>
      <c r="AD172" s="20" t="s">
        <v>352</v>
      </c>
      <c r="AE172" s="2"/>
      <c r="AF172" s="20" t="s">
        <v>270</v>
      </c>
      <c r="AG172" s="2"/>
      <c r="AH172" s="2"/>
      <c r="AI172" s="20" t="s">
        <v>437</v>
      </c>
      <c r="AJ172" s="2"/>
      <c r="AK172" s="20" t="s">
        <v>449</v>
      </c>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row>
    <row r="173" spans="1:297" ht="60" customHeight="1" x14ac:dyDescent="0.25">
      <c r="A173" s="5" t="str">
        <f t="shared" si="37"/>
        <v xml:space="preserve">Andrews, et al, (2026) </v>
      </c>
      <c r="B173" s="18" t="str">
        <f t="shared" si="38"/>
        <v>Ring and community vaccination for Bundibugyo ebolavirus outbreak response: a stochastic network modelling study</v>
      </c>
      <c r="C173" s="19" t="str">
        <f t="shared" si="39"/>
        <v>Primary - article, Modeling, Preprint</v>
      </c>
      <c r="D173" s="19" t="str">
        <f t="shared" si="40"/>
        <v>Bundibugyo</v>
      </c>
      <c r="E173" s="19" t="str">
        <f t="shared" si="41"/>
        <v>Yes</v>
      </c>
      <c r="F173" s="19" t="str">
        <f t="shared" si="42"/>
        <v>This study developed a SEIR model of the 2026 DRC BDBV outbreak (data up to July 5, 2026) to evaluate the impact of a partially cross-protective vaccine (VE=45%) under different public health response scenarios. They report that increasing case detection from 30% to 70% and contact tracing from 30% to 80% (baseline vs. enhanced operations) reduced deaths by 59.8% (IQR 54.6–65.0). Adding reactive ring vaccination to enhanced operations reduced median deaths by 65.5% (IQR 59.1–71.2) compared with baseline operations. Community vaccination median mortality reductions ranging from 47.1% to 91.0% with high uncertainty at coverage levels of 20% to 80% compared to baseline operations. Mortality reductions were negatively affected by delays in vaccine rollout. Use caution in interpreting these results as some of the model parameters have high uncertainty.</v>
      </c>
      <c r="G173" s="19" t="str">
        <f t="shared" si="43"/>
        <v>Size or Duration estimate; Mortality; Other PHM</v>
      </c>
      <c r="H173" s="19" t="str">
        <f t="shared" si="44"/>
        <v>Human - General population</v>
      </c>
      <c r="I173" s="19" t="str">
        <f t="shared" si="45"/>
        <v/>
      </c>
      <c r="J173" s="5" t="str">
        <f t="shared" si="46"/>
        <v>This study assesses the impact of vaccination in different scenarios including: reductions versus base operations, reductions versus enhanced operations, and incremental vaccine-attributable reductions when added to enhanced case finding and contact tracing.
PHM-Other: Compared with base operations without vaccination, enhanced case finding, contact tracing, and isolation reduced  median infections by 60·2% (IQR 55·0–65·0). Enhanced operations plus reactive ring vaccination's incremental infection reduction was 10·9% (IQR -6·1 to 25·5), indicating that under the base vaccine-effect assumptions the additional effect of reactive ring vaccination was modest once case finding and contact tracing were already strong.  At 20%, 40%, 60%, and 80% coverage, community vaccination's median infection reductions were 44·2%, 68·3%, 82·0%, and 88·3% respectively. 
Compared with base operations without vaccination, enhanced case finding, contact tracing, and isolation reduced  median deaths by 59·8% (IQR 54·6–65·0). Enhanced operations plus reactive ring vaccination reduced median deaths by 65·5% (IQR 59·1–71·2) compared with base operations, but the incremental mortality 263 reduction compared with enhanced operations alone was 13·6% (IQR -3·2 to 27·9). At 20%, 40%, 60%, and 80% community vaccination coverage, median mortality reductions versus base operations were 46·2% (IQR −68·2 to 94·7), 70·3% (IQR 0·0 to 96·9), 84·4% (IQR 40·5 to 97·9), and 90·9% (IQR 66·8 to 98·4), respectively. Timing of vaccine introduction strongly modified the expected benefit of community vaccination. With 50% community coverage, median mortality reduction was 86% (IQR 76–91) when vaccination began at outbreak declaration, 67% (IQR 54–77) with a 7-day delay after declaration, and 58% (IQR 42–70) with a 14-day delay after declaration. Immune-onset timing also impacted the incremental benefit of reactive ring vaccination. The model represented protection as continuous sigmoidal onset profiles, with midpoint values at 5, 10, and 14 days after vaccination. Shifting the immune-onset midpoint from 5 to 10 to 14 days reduced the incremental mortality reduction of ring vaccination from 23% (IQR 5–37) to 15% (IQR −3 to 29) and 10% (IQR −11 to 26), respectively, relative to enhanced 306 operations without vaccination. 
Contour analysis: Showed that index case detection and contact tracing coverage jointly determined the benefit of enhanced operations relative to base operations. The base-operations point at 30% index-case detection and 30% contact-tracing coverage lay near the low-benefit region, whereas higher detection and tracing moved the response into substantially larger mortality reductions. Furthermore, the analysis demonstrates that if operational capacities fall below the base-case levels of 30% detection and tracing, outbreak morbidity and mortality will worsen substantially compared to the baseline trajectory. 
Behavioural risk-compensation analyses:  Increased effective contact rates after vaccination could erode vaccine benefit when vaccine effect was low.  At the base 45% vaccine efficacy assumption, the model retained mortality reductions under modest risk  compensation, but the margin narrowed as the risk-compensation multiplier increased and vaccine efficacy decreased.</v>
      </c>
      <c r="K173" s="5" t="str">
        <f t="shared" si="47"/>
        <v>The study developed a stochastic SEIR transmission model on a two-layer contact network, calibrated using public data from the 2026 DRC Bundibugyo virus outbreak and historical BDBV outbreaks, to compare the relative impact of reactive ring vaccination, community vaccination, and hybrid vaccination strategies using a partially cross-protective rVSV-ZEBOV-like vaccine. The model incorporated outbreak surveillance data, transmission dynamics, case detection, contact tracing, vaccine efficacy, immune-onset delays, and operational constraints, with outcomes measured as reductions in cumulative infections, deaths, and vaccine doses used. Extensive sensitivity analyses examined the effects of vaccine effectiveness, vaccination timing and coverage, behavioral risk compensation, outbreak response capacity, and transmission assumptions to assess whether the relative performance of vaccination strategies remained robust under different biological and operational conditions.</v>
      </c>
      <c r="N173" s="2" t="str">
        <f t="shared" si="48"/>
        <v>https://doi.org/10.64898/2026.07.09.26357654</v>
      </c>
      <c r="O173" s="20">
        <v>701</v>
      </c>
      <c r="P173" s="20" t="s">
        <v>1399</v>
      </c>
      <c r="Q173" s="20" t="s">
        <v>1184</v>
      </c>
      <c r="R173" s="20" t="s">
        <v>1185</v>
      </c>
      <c r="S173" s="20" t="s">
        <v>1186</v>
      </c>
      <c r="T173" s="20" t="s">
        <v>266</v>
      </c>
      <c r="U173" s="2"/>
      <c r="V173" s="20" t="s">
        <v>267</v>
      </c>
      <c r="W173" s="2"/>
      <c r="X173" s="20" t="s">
        <v>1187</v>
      </c>
      <c r="Y173" s="2"/>
      <c r="Z173" s="20" t="s">
        <v>21</v>
      </c>
      <c r="AA173" s="2"/>
      <c r="AB173" s="2"/>
      <c r="AC173" s="2"/>
      <c r="AD173" s="20" t="s">
        <v>352</v>
      </c>
      <c r="AE173" s="2"/>
      <c r="AF173" s="20" t="s">
        <v>270</v>
      </c>
      <c r="AG173" s="2"/>
      <c r="AH173" s="2"/>
      <c r="AI173" s="20" t="s">
        <v>353</v>
      </c>
      <c r="AJ173" s="2"/>
      <c r="AK173" s="20" t="s">
        <v>272</v>
      </c>
      <c r="AL173" s="2"/>
      <c r="AM173" s="2"/>
      <c r="AN173" s="2"/>
      <c r="AO173" s="2"/>
      <c r="AP173" s="20" t="s">
        <v>1188</v>
      </c>
      <c r="AQ173" s="2"/>
      <c r="AR173" s="20" t="s">
        <v>37</v>
      </c>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0" t="s">
        <v>83</v>
      </c>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0" t="s">
        <v>73</v>
      </c>
      <c r="DW173" s="2"/>
      <c r="DX173" s="2"/>
      <c r="DY173" s="2"/>
      <c r="DZ173" s="2"/>
      <c r="EA173" s="2"/>
      <c r="EB173" s="2"/>
      <c r="EC173" s="2"/>
      <c r="ED173" s="2"/>
      <c r="EE173" s="2"/>
      <c r="EF173" s="2"/>
      <c r="EG173" s="2"/>
      <c r="EH173" s="2"/>
      <c r="EI173" s="2"/>
      <c r="EJ173" s="2"/>
      <c r="EK173" s="2"/>
      <c r="EL173" s="2"/>
      <c r="EM173" s="2"/>
      <c r="EN173" s="2"/>
      <c r="EO173" s="2"/>
      <c r="EP173" s="20" t="s">
        <v>135</v>
      </c>
      <c r="EQ173" s="2"/>
      <c r="ER173" s="2"/>
      <c r="ES173" s="2"/>
      <c r="ET173" s="2"/>
      <c r="EU173" s="2"/>
      <c r="EV173" s="2"/>
      <c r="EW173" s="2"/>
      <c r="EX173" s="2"/>
      <c r="EY173" s="2"/>
      <c r="EZ173" s="2"/>
      <c r="FA173" s="2"/>
      <c r="FB173" s="2"/>
      <c r="FC173" s="2"/>
      <c r="FD173" s="2"/>
      <c r="FE173" s="2"/>
      <c r="FF173" s="20" t="s">
        <v>149</v>
      </c>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0" t="s">
        <v>73</v>
      </c>
      <c r="GG173" s="2"/>
      <c r="GH173" s="2"/>
      <c r="GI173" s="2"/>
      <c r="GJ173" s="2"/>
      <c r="GK173" s="2"/>
      <c r="GL173" s="2"/>
      <c r="GM173" s="2"/>
      <c r="GN173" s="2"/>
      <c r="GO173" s="2"/>
      <c r="GP173" s="20" t="s">
        <v>73</v>
      </c>
      <c r="GQ173" s="2"/>
      <c r="GR173" s="2"/>
      <c r="GS173" s="2"/>
      <c r="GT173" s="2"/>
      <c r="GU173" s="2"/>
      <c r="GV173" s="2"/>
      <c r="GW173" s="2"/>
      <c r="GX173" s="2"/>
      <c r="GY173" s="2"/>
      <c r="GZ173" s="2"/>
      <c r="HA173" s="2"/>
      <c r="HB173" s="20" t="s">
        <v>191</v>
      </c>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0" t="s">
        <v>73</v>
      </c>
      <c r="IC173" s="2"/>
      <c r="ID173" s="2"/>
      <c r="IE173" s="2"/>
      <c r="IF173" s="2"/>
      <c r="IG173" s="2"/>
      <c r="IH173" s="2"/>
      <c r="II173" s="2"/>
      <c r="IJ173" s="20" t="s">
        <v>73</v>
      </c>
      <c r="IK173" s="2"/>
      <c r="IL173" s="2"/>
      <c r="IM173" s="2"/>
      <c r="IN173" s="2"/>
      <c r="IO173" s="2"/>
      <c r="IP173" s="2"/>
      <c r="IQ173" s="2"/>
      <c r="IR173" s="2"/>
      <c r="IS173" s="2"/>
      <c r="IT173" s="20" t="s">
        <v>73</v>
      </c>
      <c r="IU173" s="2"/>
      <c r="IV173" s="2"/>
      <c r="IW173" s="2"/>
      <c r="IX173" s="20" t="s">
        <v>73</v>
      </c>
      <c r="IY173" s="2"/>
      <c r="IZ173" s="2"/>
      <c r="JA173" s="2"/>
      <c r="JB173" s="20" t="s">
        <v>73</v>
      </c>
      <c r="JC173" s="2"/>
      <c r="JD173" s="2"/>
      <c r="JE173" s="2"/>
      <c r="JF173" s="20" t="s">
        <v>73</v>
      </c>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0" t="s">
        <v>73</v>
      </c>
      <c r="KG173" s="2"/>
      <c r="KH173" s="20" t="s">
        <v>1189</v>
      </c>
      <c r="KI173" s="2"/>
      <c r="KJ173" s="20" t="s">
        <v>1190</v>
      </c>
      <c r="KK173" s="2"/>
    </row>
    <row r="174" spans="1:297" ht="60" customHeight="1" x14ac:dyDescent="0.25">
      <c r="A174" s="5" t="str">
        <f t="shared" si="37"/>
        <v xml:space="preserve">Kelvin, et al, (2026) </v>
      </c>
      <c r="B174" s="18" t="str">
        <f t="shared" si="38"/>
        <v>Mutation mapping and evolutionary dynamics of Bundibugyo Ebolavirus (BDBV-2026) genomes reported from Uganda</v>
      </c>
      <c r="C174" s="19" t="str">
        <f t="shared" si="39"/>
        <v>Primary - article, Descriptive, Preprint</v>
      </c>
      <c r="D174" s="19" t="str">
        <f t="shared" si="40"/>
        <v>Bundibugyo</v>
      </c>
      <c r="E174" s="19" t="str">
        <f t="shared" si="41"/>
        <v>Yes</v>
      </c>
      <c r="F174" s="19" t="str">
        <f>_xlfn.TEXTJOIN("", TRUE, AM174,AP174)</f>
        <v>This study analysed a total of 19 genomes isolated from Ugandan cases during the ongoing BDBV-2026 outbreak using a comparative genomics approach. Authors observed a substantial number of amino acid substitutions with lower single nucleotide polymorphisms and complete deletion of 3' leader sequences (61 nucleotides and truncation of 5' trailer sequences (73 nucleotides) in all queried BDBV-2026 genomes. Phylogenetic analysis demonstrated diversity within the BDBV-2026 genomes and the emergence of two sub-groups, I and II, of BDBV-2026 viruses, suggesting this outbreak may have originated from a novel zoonotic spillover.</v>
      </c>
      <c r="G174" s="19" t="str">
        <f t="shared" si="43"/>
        <v>Pathogen mutations; Phylogenetic analysis/molecular epidemiology</v>
      </c>
      <c r="H174" s="19" t="str">
        <f t="shared" si="44"/>
        <v>Human - General population</v>
      </c>
      <c r="I174" s="19" t="str">
        <f t="shared" si="45"/>
        <v/>
      </c>
      <c r="J174" s="5" t="str">
        <f t="shared" si="46"/>
        <v>Phylogenetic analysis/molecular epidemiology:
 The phylogenetic analysis was conducted to investigate the evolutionary dynamics of the BDBV-2026 sequence. A bootstrap-supported neighbor-joining phylogenetic tree constructed from human BDBV isolates representing the 2007 outbreak (n = 5), the 2012 outbreak (n = 12), and the ongoing 2026 outbreak (n = 19) in the DRC and Uganda revealed three distinct subclades. The quality check performed by Nextclade revealed that out of 19 genomes, three genomes (PP_0076RPB.1, PP_0076RVZ.1, and PP_0076RXV.1) showed a large number of N or ambiguous elements. These three genomes were found to have 3360, 781, and 849 N or ambiguous elements, respectively. . The 19 BDBV-2026 genomes considered in this analysis shared 98.79 to 99.04 percentage identity with the reference genome (NC_014373.1). Genome-wide sequence alignment between 19 BDBV-2026 genomes and 17 genomes from previous outbreaks (BDBV-2007 and 2012) reveals that all 19 BDBV-2026 Uganda genomes have a deletion of the 3' leader sequence (61 nt, C1 to A61) and truncation of the 5' trailer sequence (73 nt, T18,867 to A18,940). Researchers compared the number of total substitutions, deletions, insertions, and amino acid substitutions in BDBV sequences from the 2026 outbreak, previous human outbreaks (BDBV-2007 and BDBV-2012), and cell-culture isolates . Of the four variables examined, total deletions and total insertions differed significantly among groups (Kruskal–Wallis H = 8.03 and 11.85; p = 0.01 and 0.002, respectively; η² = 0.1131 and 0.2142), and pairwise comparisons identified significant differences between specific groups. 
Mutations: The mutational analysis revealed single nucleotide polymorphisms (SNPs), amino acid (aa) substitutions, and stop codons in the BDBV-2026103 genomes. Molecular dynamics simulation was performed for wild-type (BDBV-2007) and mutant (BDBV-2026) models of the NP and L proteins, which contained the identified mutation hotspots, to evaluate the impact of the mutations on protein stability over a standard 500 ns simulation. The calculated root mean square deviation (RMSD) and root mean square fluctuation (RMSF) trajectories showed that the novel BDBV-2026 mutations significantly affected NP protein stability, whereas no significant stability differences were observed between the wild-type BDBV-2007 L protein and the mutant BDBV-2026 L protein.</v>
      </c>
      <c r="K174" s="5" t="str">
        <f t="shared" si="47"/>
        <v>The study analyzed 19 newly sequenced Bundibugyo virus (BDBV-2026) genomes from Uganda by mapping them to a reference genome, identifying genomic and protein mutations, and generating three-dimensional protein structures using AlphaFold. Structural models were compared using bioinformatics tools, while mutation burden across current, historical, and cell-culture-derived BDBV genomes was assessed using nonparametric statistical tests that emphasized effect sizes alongside significance testing.To investigate viral evolution, the researchers combined the 19 new genomes with sequences from the 2007 and 2012 BDBV outbreaks, performed multiple-sequence alignment, and constructed bootstrap-supported phylogenetic trees.</v>
      </c>
      <c r="N174" s="2" t="str">
        <f t="shared" si="48"/>
        <v>https://doi.org/10.21203/rs.3.rs-10310109/v1</v>
      </c>
      <c r="O174" s="20">
        <v>702</v>
      </c>
      <c r="P174" s="20" t="s">
        <v>1400</v>
      </c>
      <c r="Q174" s="20" t="s">
        <v>1191</v>
      </c>
      <c r="R174" s="20" t="s">
        <v>1192</v>
      </c>
      <c r="S174" s="20" t="s">
        <v>1193</v>
      </c>
      <c r="T174" s="20" t="s">
        <v>266</v>
      </c>
      <c r="U174" s="2"/>
      <c r="V174" s="20" t="s">
        <v>267</v>
      </c>
      <c r="W174" s="2"/>
      <c r="X174" s="20" t="s">
        <v>1194</v>
      </c>
      <c r="Y174" s="2"/>
      <c r="Z174" s="20" t="s">
        <v>21</v>
      </c>
      <c r="AA174" s="2"/>
      <c r="AB174" s="2"/>
      <c r="AC174" s="2"/>
      <c r="AD174" s="20" t="s">
        <v>352</v>
      </c>
      <c r="AE174" s="2"/>
      <c r="AF174" s="20" t="s">
        <v>270</v>
      </c>
      <c r="AG174" s="2"/>
      <c r="AH174" s="2"/>
      <c r="AI174" s="20" t="s">
        <v>353</v>
      </c>
      <c r="AJ174" s="2"/>
      <c r="AK174" s="20" t="s">
        <v>272</v>
      </c>
      <c r="AL174" s="2"/>
      <c r="AM174" s="2"/>
      <c r="AN174" s="2"/>
      <c r="AO174" s="2"/>
      <c r="AP174" s="20" t="s">
        <v>1195</v>
      </c>
      <c r="AQ174" s="2"/>
      <c r="AR174" s="20" t="s">
        <v>37</v>
      </c>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0" t="s">
        <v>77</v>
      </c>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0" t="s">
        <v>73</v>
      </c>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0" t="s">
        <v>73</v>
      </c>
      <c r="EW174" s="2"/>
      <c r="EX174" s="2"/>
      <c r="EY174" s="2"/>
      <c r="EZ174" s="2"/>
      <c r="FA174" s="2"/>
      <c r="FB174" s="2"/>
      <c r="FC174" s="2"/>
      <c r="FD174" s="2"/>
      <c r="FE174" s="2"/>
      <c r="FF174" s="2"/>
      <c r="FG174" s="2"/>
      <c r="FH174" s="2"/>
      <c r="FI174" s="2"/>
      <c r="FJ174" s="2"/>
      <c r="FK174" s="2"/>
      <c r="FL174" s="2"/>
      <c r="FM174" s="2"/>
      <c r="FN174" s="2"/>
      <c r="FO174" s="2"/>
      <c r="FP174" s="2"/>
      <c r="FQ174" s="2"/>
      <c r="FR174" s="20" t="s">
        <v>73</v>
      </c>
      <c r="FS174" s="2"/>
      <c r="FT174" s="2"/>
      <c r="FU174" s="2"/>
      <c r="FV174" s="2"/>
      <c r="FW174" s="2"/>
      <c r="FX174" s="2"/>
      <c r="FY174" s="2"/>
      <c r="FZ174" s="2"/>
      <c r="GA174" s="2"/>
      <c r="GB174" s="2"/>
      <c r="GC174" s="2"/>
      <c r="GD174" s="2"/>
      <c r="GE174" s="2"/>
      <c r="GF174" s="20" t="s">
        <v>73</v>
      </c>
      <c r="GG174" s="2"/>
      <c r="GH174" s="2"/>
      <c r="GI174" s="2"/>
      <c r="GJ174" s="2"/>
      <c r="GK174" s="2"/>
      <c r="GL174" s="2"/>
      <c r="GM174" s="2"/>
      <c r="GN174" s="2"/>
      <c r="GO174" s="2"/>
      <c r="GP174" s="20" t="s">
        <v>73</v>
      </c>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0" t="s">
        <v>73</v>
      </c>
      <c r="HS174" s="2"/>
      <c r="HT174" s="2"/>
      <c r="HU174" s="2"/>
      <c r="HV174" s="2"/>
      <c r="HW174" s="2"/>
      <c r="HX174" s="2"/>
      <c r="HY174" s="2"/>
      <c r="HZ174" s="2"/>
      <c r="IA174" s="2"/>
      <c r="IB174" s="20" t="s">
        <v>73</v>
      </c>
      <c r="IC174" s="2"/>
      <c r="ID174" s="2"/>
      <c r="IE174" s="2"/>
      <c r="IF174" s="2"/>
      <c r="IG174" s="2"/>
      <c r="IH174" s="2"/>
      <c r="II174" s="2"/>
      <c r="IJ174" s="20" t="s">
        <v>73</v>
      </c>
      <c r="IK174" s="2"/>
      <c r="IL174" s="20" t="s">
        <v>221</v>
      </c>
      <c r="IM174" s="2"/>
      <c r="IN174" s="2"/>
      <c r="IO174" s="2"/>
      <c r="IP174" s="2"/>
      <c r="IQ174" s="2"/>
      <c r="IR174" s="20" t="s">
        <v>227</v>
      </c>
      <c r="IS174" s="2"/>
      <c r="IT174" s="2"/>
      <c r="IU174" s="2"/>
      <c r="IV174" s="2"/>
      <c r="IW174" s="2"/>
      <c r="IX174" s="20" t="s">
        <v>73</v>
      </c>
      <c r="IY174" s="2"/>
      <c r="IZ174" s="2"/>
      <c r="JA174" s="2"/>
      <c r="JB174" s="20" t="s">
        <v>73</v>
      </c>
      <c r="JC174" s="2"/>
      <c r="JD174" s="2"/>
      <c r="JE174" s="2"/>
      <c r="JF174" s="20" t="s">
        <v>73</v>
      </c>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0" t="s">
        <v>73</v>
      </c>
      <c r="KG174" s="2"/>
      <c r="KH174" s="20" t="s">
        <v>1196</v>
      </c>
      <c r="KI174" s="2"/>
      <c r="KJ174" s="20" t="s">
        <v>1197</v>
      </c>
      <c r="KK174" s="2"/>
    </row>
    <row r="175" spans="1:297" ht="60" customHeight="1" x14ac:dyDescent="0.25">
      <c r="A175" s="5" t="str">
        <f t="shared" si="37"/>
        <v xml:space="preserve">Elvis Akem, et al, (2026) </v>
      </c>
      <c r="B175" s="18" t="str">
        <f t="shared" si="38"/>
        <v>From Risk Score to Field Action: Development of a Health-Zone-Level Operational Prioritization and Action Framework for the 2026 Bundibugyo Virus Disease Outbreak in the Democratic Republic of the Congo</v>
      </c>
      <c r="C175" s="19" t="str">
        <f t="shared" si="39"/>
        <v>Primary - article, Descriptive, Preprint</v>
      </c>
      <c r="D175" s="19" t="str">
        <f t="shared" si="40"/>
        <v>Bundibugyo</v>
      </c>
      <c r="E175" s="19" t="str">
        <f t="shared" si="41"/>
        <v>Yes</v>
      </c>
      <c r="F175" s="19" t="str">
        <f t="shared" si="42"/>
        <v>This methodological paper presents the Bundibugyo Virus Disease Operational Intelligence System (BVD-OIS), a three-module framework built on an eight-domain Health Zone Operational Priority Index . The framework produces two standardized outputs: a one-page Health Zone Action Card combining priority tier, trajectory, binding constraint, data completeness, and time-stratified role-specific actions; and a Multi-Zone Priority Summary ranking scored health zones for coordination settings. The  intent of this framework is for local adaptation, prospective field testing, and independent evaluation.</v>
      </c>
      <c r="G175" s="19" t="str">
        <f t="shared" si="43"/>
        <v>Other PHM</v>
      </c>
      <c r="H175" s="19" t="str">
        <f t="shared" si="44"/>
        <v>Human - General population</v>
      </c>
      <c r="I175" s="19" t="str">
        <f t="shared" si="45"/>
        <v/>
      </c>
      <c r="J175" s="5" t="str">
        <f t="shared" si="46"/>
        <v>PHM Other: 
The BVD-OIS extends health-zone-level scoring into a complete operational intelligence pathway: from routinely reported surveillance indicators, to a standardized composite score, to a prioritized and role-assigned field action plan, with explicit accounting for where the underlying data are incomplete. Framework outputs include: a Health Zone Action Card and a Multi-Zone Priority Summary
Health Zone Action Card:  one-page operational summary intended for direct use in coordination meetings, daily briefings, and field team supervision. It converts the score into a prioritized and accountable field plan.
Multi-Zone Priority Summary: Ranks all scored health zones by priority tier and, within tier, by trajectory. Escalating zones are listed ahead of stable or improving zones at the same tier. The output is intended for response coordination settings where incident managers and partners need a rapid comparative view across the response.</v>
      </c>
      <c r="K175" s="5" t="str">
        <f t="shared" si="47"/>
        <v>This methodological paper presents the Bundibugyo Virus Disease Operational Intelligence Suite (BVD‑OIS), a decision-support framework that uses public health-zone-level outbreak data to prioritize affected areas and guide response activities. It includes a Health Zone Operational Priority Index (HZ‑OPI) to score risk across eight operational domains, a Field Action Prioritization Tool (FAPT) to identify key constraints and generate targeted response actions, and a Response Intelligence Audit (RIA) to track data completeness and uncertainty, ensuring transparent operational decision-making.</v>
      </c>
      <c r="N175" s="2" t="str">
        <f t="shared" si="48"/>
        <v>https://doi.org/10.20944/preprints202607.0759.v1</v>
      </c>
      <c r="O175" s="20">
        <v>703</v>
      </c>
      <c r="P175" s="20" t="s">
        <v>1401</v>
      </c>
      <c r="Q175" s="20" t="s">
        <v>1198</v>
      </c>
      <c r="R175" s="20" t="s">
        <v>1199</v>
      </c>
      <c r="S175" s="20" t="s">
        <v>1200</v>
      </c>
      <c r="T175" s="20" t="s">
        <v>266</v>
      </c>
      <c r="U175" s="2"/>
      <c r="V175" s="20" t="s">
        <v>267</v>
      </c>
      <c r="W175" s="2"/>
      <c r="X175" s="20" t="s">
        <v>1201</v>
      </c>
      <c r="Y175" s="2"/>
      <c r="Z175" s="20" t="s">
        <v>21</v>
      </c>
      <c r="AA175" s="2"/>
      <c r="AB175" s="2"/>
      <c r="AC175" s="2"/>
      <c r="AD175" s="20" t="s">
        <v>352</v>
      </c>
      <c r="AE175" s="2"/>
      <c r="AF175" s="20" t="s">
        <v>270</v>
      </c>
      <c r="AG175" s="2"/>
      <c r="AH175" s="2"/>
      <c r="AI175" s="20" t="s">
        <v>353</v>
      </c>
      <c r="AJ175" s="2"/>
      <c r="AK175" s="20" t="s">
        <v>272</v>
      </c>
      <c r="AL175" s="2"/>
      <c r="AM175" s="2"/>
      <c r="AN175" s="2"/>
      <c r="AO175" s="2"/>
      <c r="AP175" s="20" t="s">
        <v>1202</v>
      </c>
      <c r="AQ175" s="2"/>
      <c r="AR175" s="20" t="s">
        <v>37</v>
      </c>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0" t="s">
        <v>77</v>
      </c>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0" t="s">
        <v>73</v>
      </c>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0" t="s">
        <v>73</v>
      </c>
      <c r="EW175" s="2"/>
      <c r="EX175" s="2"/>
      <c r="EY175" s="2"/>
      <c r="EZ175" s="2"/>
      <c r="FA175" s="2"/>
      <c r="FB175" s="2"/>
      <c r="FC175" s="2"/>
      <c r="FD175" s="2"/>
      <c r="FE175" s="2"/>
      <c r="FF175" s="2"/>
      <c r="FG175" s="2"/>
      <c r="FH175" s="2"/>
      <c r="FI175" s="2"/>
      <c r="FJ175" s="2"/>
      <c r="FK175" s="2"/>
      <c r="FL175" s="2"/>
      <c r="FM175" s="2"/>
      <c r="FN175" s="2"/>
      <c r="FO175" s="2"/>
      <c r="FP175" s="2"/>
      <c r="FQ175" s="2"/>
      <c r="FR175" s="20" t="s">
        <v>73</v>
      </c>
      <c r="FS175" s="2"/>
      <c r="FT175" s="2"/>
      <c r="FU175" s="2"/>
      <c r="FV175" s="2"/>
      <c r="FW175" s="2"/>
      <c r="FX175" s="2"/>
      <c r="FY175" s="2"/>
      <c r="FZ175" s="2"/>
      <c r="GA175" s="2"/>
      <c r="GB175" s="2"/>
      <c r="GC175" s="2"/>
      <c r="GD175" s="2"/>
      <c r="GE175" s="2"/>
      <c r="GF175" s="20" t="s">
        <v>73</v>
      </c>
      <c r="GG175" s="2"/>
      <c r="GH175" s="2"/>
      <c r="GI175" s="2"/>
      <c r="GJ175" s="2"/>
      <c r="GK175" s="2"/>
      <c r="GL175" s="2"/>
      <c r="GM175" s="2"/>
      <c r="GN175" s="2"/>
      <c r="GO175" s="2"/>
      <c r="GP175" s="20" t="s">
        <v>73</v>
      </c>
      <c r="GQ175" s="2"/>
      <c r="GR175" s="2"/>
      <c r="GS175" s="2"/>
      <c r="GT175" s="2"/>
      <c r="GU175" s="2"/>
      <c r="GV175" s="2"/>
      <c r="GW175" s="2"/>
      <c r="GX175" s="2"/>
      <c r="GY175" s="2"/>
      <c r="GZ175" s="2"/>
      <c r="HA175" s="2"/>
      <c r="HB175" s="20" t="s">
        <v>191</v>
      </c>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0" t="s">
        <v>73</v>
      </c>
      <c r="IC175" s="2"/>
      <c r="ID175" s="2"/>
      <c r="IE175" s="2"/>
      <c r="IF175" s="2"/>
      <c r="IG175" s="2"/>
      <c r="IH175" s="2"/>
      <c r="II175" s="2"/>
      <c r="IJ175" s="20" t="s">
        <v>73</v>
      </c>
      <c r="IK175" s="2"/>
      <c r="IL175" s="2"/>
      <c r="IM175" s="2"/>
      <c r="IN175" s="2"/>
      <c r="IO175" s="2"/>
      <c r="IP175" s="2"/>
      <c r="IQ175" s="2"/>
      <c r="IR175" s="2"/>
      <c r="IS175" s="2"/>
      <c r="IT175" s="20" t="s">
        <v>73</v>
      </c>
      <c r="IU175" s="2"/>
      <c r="IV175" s="2"/>
      <c r="IW175" s="2"/>
      <c r="IX175" s="20" t="s">
        <v>73</v>
      </c>
      <c r="IY175" s="2"/>
      <c r="IZ175" s="2"/>
      <c r="JA175" s="2"/>
      <c r="JB175" s="20" t="s">
        <v>73</v>
      </c>
      <c r="JC175" s="2"/>
      <c r="JD175" s="2"/>
      <c r="JE175" s="2"/>
      <c r="JF175" s="20" t="s">
        <v>73</v>
      </c>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0" t="s">
        <v>73</v>
      </c>
      <c r="KG175" s="2"/>
      <c r="KH175" s="20" t="s">
        <v>1203</v>
      </c>
      <c r="KI175" s="2"/>
      <c r="KJ175" s="20" t="s">
        <v>1204</v>
      </c>
      <c r="KK175" s="2"/>
    </row>
    <row r="176" spans="1:297" ht="60" customHeight="1" x14ac:dyDescent="0.25">
      <c r="A176" s="5" t="str">
        <f t="shared" si="37"/>
        <v xml:space="preserve">Karim, et al, (2026) </v>
      </c>
      <c r="B176" s="18" t="str">
        <f t="shared" si="38"/>
        <v>Africa’s response to this Ebola outbreak shows how to shape global health</v>
      </c>
      <c r="C176" s="19" t="str">
        <f t="shared" si="39"/>
        <v>News, Other grey literature report</v>
      </c>
      <c r="D176" s="19" t="str">
        <f t="shared" si="40"/>
        <v>Bundibugyo</v>
      </c>
      <c r="E176" s="19" t="str">
        <f t="shared" si="41"/>
        <v>Yes</v>
      </c>
      <c r="F176" s="19" t="str">
        <f t="shared" si="42"/>
        <v/>
      </c>
      <c r="G176" s="19" t="str">
        <f t="shared" si="43"/>
        <v/>
      </c>
      <c r="H176" s="19" t="str">
        <f t="shared" si="44"/>
        <v/>
      </c>
      <c r="I176" s="19" t="str">
        <f t="shared" si="45"/>
        <v/>
      </c>
      <c r="J176" s="5" t="str">
        <f t="shared" si="46"/>
        <v/>
      </c>
      <c r="K176" s="5" t="str">
        <f t="shared" si="47"/>
        <v/>
      </c>
      <c r="N176" s="2" t="str">
        <f t="shared" si="48"/>
        <v>https://www.nature.com/articles/d41586-026-02148-6</v>
      </c>
      <c r="O176" s="20">
        <v>705</v>
      </c>
      <c r="P176" s="20" t="s">
        <v>1402</v>
      </c>
      <c r="Q176" s="20" t="s">
        <v>1205</v>
      </c>
      <c r="R176" s="2"/>
      <c r="S176" s="20" t="s">
        <v>1206</v>
      </c>
      <c r="T176" s="20" t="s">
        <v>266</v>
      </c>
      <c r="U176" s="2"/>
      <c r="V176" s="20">
        <v>2</v>
      </c>
      <c r="W176" s="2"/>
      <c r="X176" s="20" t="s">
        <v>1206</v>
      </c>
      <c r="Y176" s="2"/>
      <c r="Z176" s="20" t="s">
        <v>21</v>
      </c>
      <c r="AA176" s="2"/>
      <c r="AB176" s="2"/>
      <c r="AC176" s="2"/>
      <c r="AD176" s="20" t="s">
        <v>352</v>
      </c>
      <c r="AE176" s="2"/>
      <c r="AF176" s="20" t="s">
        <v>270</v>
      </c>
      <c r="AG176" s="2"/>
      <c r="AH176" s="2"/>
      <c r="AI176" s="20" t="s">
        <v>306</v>
      </c>
      <c r="AJ176" s="2"/>
      <c r="AK176" s="20" t="s">
        <v>307</v>
      </c>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row>
    <row r="177" spans="1:297" ht="60" customHeight="1" x14ac:dyDescent="0.25">
      <c r="A177" s="5" t="str">
        <f t="shared" si="37"/>
        <v xml:space="preserve">Public Health Ontario, () </v>
      </c>
      <c r="B177" s="18" t="str">
        <f t="shared" si="38"/>
        <v>Ebola Disease - How to Self-Isolate</v>
      </c>
      <c r="C177" s="19" t="str">
        <f t="shared" si="39"/>
        <v>Other non-primary, Other grey literature report</v>
      </c>
      <c r="D177" s="19" t="str">
        <f t="shared" si="40"/>
        <v>Bundibugyo</v>
      </c>
      <c r="E177" s="19" t="str">
        <f t="shared" si="41"/>
        <v>No</v>
      </c>
      <c r="F177" s="19" t="str">
        <f t="shared" si="42"/>
        <v/>
      </c>
      <c r="G177" s="19" t="str">
        <f t="shared" si="43"/>
        <v/>
      </c>
      <c r="H177" s="19" t="str">
        <f t="shared" si="44"/>
        <v/>
      </c>
      <c r="I177" s="19" t="str">
        <f t="shared" si="45"/>
        <v/>
      </c>
      <c r="J177" s="5" t="str">
        <f t="shared" si="46"/>
        <v/>
      </c>
      <c r="K177" s="5" t="str">
        <f t="shared" si="47"/>
        <v/>
      </c>
      <c r="N177" s="2" t="str">
        <f t="shared" si="48"/>
        <v>https://www.publichealthontario.ca/-/media/Documents/V/26/vhf-exposure-how-self-isolate.pdf?rev=faaf6ec92e064e8cafa3cfa4dc431971&amp;sc_lang=en</v>
      </c>
      <c r="O177" s="20">
        <v>706</v>
      </c>
      <c r="P177" s="20" t="s">
        <v>1403</v>
      </c>
      <c r="Q177" s="20" t="s">
        <v>1207</v>
      </c>
      <c r="R177" s="2"/>
      <c r="S177" s="20" t="s">
        <v>1208</v>
      </c>
      <c r="T177" s="20" t="s">
        <v>266</v>
      </c>
      <c r="U177" s="2"/>
      <c r="V177" s="20">
        <v>2</v>
      </c>
      <c r="W177" s="2"/>
      <c r="X177" s="20" t="s">
        <v>1208</v>
      </c>
      <c r="Y177" s="2"/>
      <c r="Z177" s="20" t="s">
        <v>21</v>
      </c>
      <c r="AA177" s="2"/>
      <c r="AB177" s="2"/>
      <c r="AC177" s="2"/>
      <c r="AD177" s="20" t="s">
        <v>269</v>
      </c>
      <c r="AE177" s="2"/>
      <c r="AF177" s="20" t="s">
        <v>270</v>
      </c>
      <c r="AG177" s="2"/>
      <c r="AH177" s="2"/>
      <c r="AI177" s="20" t="s">
        <v>306</v>
      </c>
      <c r="AJ177" s="2"/>
      <c r="AK177" s="20" t="s">
        <v>449</v>
      </c>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row>
    <row r="178" spans="1:297" ht="60" customHeight="1" x14ac:dyDescent="0.25">
      <c r="A178" s="5" t="str">
        <f t="shared" si="37"/>
        <v>Wise, et al, (2026), BMJ (Clinical research ed.)</v>
      </c>
      <c r="B178" s="18" t="str">
        <f t="shared" si="38"/>
        <v>Ebola vaccine: Oxford starts UK trial against Bundibugyo strain</v>
      </c>
      <c r="C178" s="19" t="str">
        <f t="shared" si="39"/>
        <v>News, Other grey literature report</v>
      </c>
      <c r="D178" s="19" t="str">
        <f t="shared" si="40"/>
        <v>Bundibugyo</v>
      </c>
      <c r="E178" s="19" t="str">
        <f t="shared" si="41"/>
        <v>Yes</v>
      </c>
      <c r="F178" s="19" t="str">
        <f t="shared" si="42"/>
        <v/>
      </c>
      <c r="G178" s="19" t="str">
        <f t="shared" si="43"/>
        <v/>
      </c>
      <c r="H178" s="19" t="str">
        <f t="shared" si="44"/>
        <v/>
      </c>
      <c r="I178" s="19" t="str">
        <f t="shared" si="45"/>
        <v/>
      </c>
      <c r="J178" s="5" t="str">
        <f t="shared" si="46"/>
        <v/>
      </c>
      <c r="K178" s="5" t="str">
        <f t="shared" si="47"/>
        <v/>
      </c>
      <c r="N178" s="2" t="str">
        <f t="shared" si="48"/>
        <v>https://doi.org/10.1136/bmj-2026-100286</v>
      </c>
      <c r="O178" s="20">
        <v>709</v>
      </c>
      <c r="P178" s="20" t="s">
        <v>1209</v>
      </c>
      <c r="Q178" s="20" t="s">
        <v>1210</v>
      </c>
      <c r="R178" s="20" t="s">
        <v>1211</v>
      </c>
      <c r="S178" s="20" t="s">
        <v>1212</v>
      </c>
      <c r="T178" s="20" t="s">
        <v>266</v>
      </c>
      <c r="U178" s="2"/>
      <c r="V178" s="20">
        <v>2</v>
      </c>
      <c r="W178" s="2"/>
      <c r="X178" s="20" t="s">
        <v>1213</v>
      </c>
      <c r="Y178" s="2"/>
      <c r="Z178" s="20" t="s">
        <v>21</v>
      </c>
      <c r="AA178" s="2"/>
      <c r="AB178" s="2"/>
      <c r="AC178" s="2"/>
      <c r="AD178" s="20" t="s">
        <v>352</v>
      </c>
      <c r="AE178" s="2"/>
      <c r="AF178" s="20" t="s">
        <v>270</v>
      </c>
      <c r="AG178" s="2"/>
      <c r="AH178" s="2"/>
      <c r="AI178" s="20" t="s">
        <v>306</v>
      </c>
      <c r="AJ178" s="2"/>
      <c r="AK178" s="20" t="s">
        <v>307</v>
      </c>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row>
    <row r="179" spans="1:297" s="12" customFormat="1" ht="60" customHeight="1" x14ac:dyDescent="0.25">
      <c r="A179" s="5" t="str">
        <f t="shared" ref="A179:A187" si="49">P179</f>
        <v xml:space="preserve">Africa CDC, (2026) </v>
      </c>
      <c r="B179" s="18" t="str">
        <f t="shared" ref="B179:B187" si="50">HYPERLINK(N179, Q179)</f>
        <v>Bundibugyo Ebola Virus Outbreak: Launch of the EBO-PEP Trial to Protect High-Risk Contacts</v>
      </c>
      <c r="C179" s="19" t="str">
        <f t="shared" ref="C179:C187" si="51">_xlfn.TEXTJOIN(", ", TRUE, AK179,CD179:CX179,AI179, AG179)</f>
        <v>News, Other grey literature report</v>
      </c>
      <c r="D179" s="19" t="str">
        <f t="shared" ref="D179:D187" si="52">_xlfn.TEXTJOIN(", ", TRUE, Z179, AB179)</f>
        <v>Bundibugyo</v>
      </c>
      <c r="E179" s="19" t="str">
        <f t="shared" ref="E179:E187" si="53">AD179</f>
        <v>Yes</v>
      </c>
      <c r="F179" s="19" t="str">
        <f t="shared" ref="F179:F187" si="54">_xlfn.TEXTJOIN("", TRUE, AM179,AP179)</f>
        <v/>
      </c>
      <c r="G179" s="19" t="str">
        <f t="shared" ref="G179:G187" si="55">_xlfn.TEXTJOIN("; ", TRUE, DX179:EU179,EX179:FQ179, FT179:GE179, GH179:GO179, GR179:HP179, HT179:HZ179, ID179:IH179, IL179:IR179, IV179, IZ179, JD179, JH179:KD179)</f>
        <v/>
      </c>
      <c r="H179" s="19" t="str">
        <f t="shared" ref="H179:H187" si="56">_xlfn.TEXTJOIN(", ", TRUE,AR179:BZ179)</f>
        <v/>
      </c>
      <c r="I179" s="19" t="str">
        <f t="shared" ref="I179:I187" si="57">_xlfn.TEXTJOIN(", ", TRUE,DB179:DU179)</f>
        <v/>
      </c>
      <c r="J179" s="5" t="str">
        <f t="shared" ref="J179:J187" si="58">_xlfn.TEXTJOIN(", ", TRUE, KH179)</f>
        <v/>
      </c>
      <c r="K179" s="5" t="str">
        <f t="shared" ref="K179:K187" si="59">_xlfn.TEXTJOIN(", ", TRUE, KJ179)</f>
        <v/>
      </c>
      <c r="L179" s="5"/>
      <c r="M179"/>
      <c r="N179" s="2" t="str">
        <f t="shared" ref="N179:N187" si="60">IF(ISBLANK(R179),X179,_xlfn.CONCAT($N$1,R179))</f>
        <v>https://africacdc.org/news-item/bundibugyo-ebola-virus-outbreak-launch-of-the-ebo-pep-trial-to-protect-high-risk-contacts/</v>
      </c>
      <c r="O179" s="20">
        <v>715</v>
      </c>
      <c r="P179" s="20" t="s">
        <v>1404</v>
      </c>
      <c r="Q179" s="20" t="s">
        <v>1214</v>
      </c>
      <c r="R179" s="2"/>
      <c r="S179" s="20" t="s">
        <v>1215</v>
      </c>
      <c r="T179" s="20" t="s">
        <v>266</v>
      </c>
      <c r="U179" s="2"/>
      <c r="V179" s="20">
        <v>2</v>
      </c>
      <c r="W179" s="2"/>
      <c r="X179" s="20" t="s">
        <v>1215</v>
      </c>
      <c r="Y179" s="2"/>
      <c r="Z179" s="20" t="s">
        <v>21</v>
      </c>
      <c r="AA179" s="2"/>
      <c r="AB179" s="2"/>
      <c r="AC179" s="2"/>
      <c r="AD179" s="20" t="s">
        <v>352</v>
      </c>
      <c r="AE179" s="2"/>
      <c r="AF179" s="20" t="s">
        <v>270</v>
      </c>
      <c r="AG179" s="2"/>
      <c r="AH179" s="2"/>
      <c r="AI179" s="20" t="s">
        <v>306</v>
      </c>
      <c r="AJ179" s="2"/>
      <c r="AK179" s="20" t="s">
        <v>307</v>
      </c>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row>
    <row r="180" spans="1:297" s="12" customFormat="1" ht="60" customHeight="1" x14ac:dyDescent="0.25">
      <c r="A180" s="5" t="str">
        <f>P180</f>
        <v>Wallis, et al, (2026), African Journal of Reproductive Health</v>
      </c>
      <c r="B180" s="18" t="str">
        <f t="shared" si="50"/>
        <v>It's not just virology: The Bundibugyo Ebola outbreak in the Democratic Republic of the Congo and Uganda demands a wider public health response</v>
      </c>
      <c r="C180" s="19" t="str">
        <f t="shared" si="51"/>
        <v>Commentary, Peer-reviewed publication</v>
      </c>
      <c r="D180" s="19" t="str">
        <f t="shared" si="52"/>
        <v>Bundibugyo</v>
      </c>
      <c r="E180" s="19" t="str">
        <f t="shared" si="53"/>
        <v>Yes</v>
      </c>
      <c r="F180" s="19" t="str">
        <f t="shared" si="54"/>
        <v/>
      </c>
      <c r="G180" s="19" t="str">
        <f t="shared" si="55"/>
        <v/>
      </c>
      <c r="H180" s="19" t="str">
        <f t="shared" si="56"/>
        <v/>
      </c>
      <c r="I180" s="19" t="str">
        <f t="shared" si="57"/>
        <v/>
      </c>
      <c r="J180" s="5" t="str">
        <f t="shared" si="58"/>
        <v/>
      </c>
      <c r="K180" s="5" t="str">
        <f t="shared" si="59"/>
        <v/>
      </c>
      <c r="L180" s="5"/>
      <c r="M180"/>
      <c r="N180" s="2" t="str">
        <f t="shared" si="60"/>
        <v>https://doi.org/10.29063/ajrh2026/v30i13.1</v>
      </c>
      <c r="O180" s="20">
        <v>717</v>
      </c>
      <c r="P180" s="20" t="s">
        <v>1216</v>
      </c>
      <c r="Q180" s="20" t="s">
        <v>1217</v>
      </c>
      <c r="R180" s="20" t="s">
        <v>1218</v>
      </c>
      <c r="S180" s="20" t="s">
        <v>1219</v>
      </c>
      <c r="T180" s="20" t="s">
        <v>266</v>
      </c>
      <c r="U180" s="2"/>
      <c r="V180" s="20">
        <v>2</v>
      </c>
      <c r="W180" s="2"/>
      <c r="X180" s="20" t="s">
        <v>1220</v>
      </c>
      <c r="Y180" s="2"/>
      <c r="Z180" s="20" t="s">
        <v>21</v>
      </c>
      <c r="AA180" s="2"/>
      <c r="AB180" s="2"/>
      <c r="AC180" s="2"/>
      <c r="AD180" s="20" t="s">
        <v>352</v>
      </c>
      <c r="AE180" s="2"/>
      <c r="AF180" s="20" t="s">
        <v>270</v>
      </c>
      <c r="AG180" s="2"/>
      <c r="AH180" s="2"/>
      <c r="AI180" s="20" t="s">
        <v>271</v>
      </c>
      <c r="AJ180" s="2"/>
      <c r="AK180" s="20" t="s">
        <v>425</v>
      </c>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row>
    <row r="181" spans="1:297" s="12" customFormat="1" ht="60" customHeight="1" x14ac:dyDescent="0.25">
      <c r="A181" s="5" t="str">
        <f t="shared" si="49"/>
        <v xml:space="preserve">Ambe, et al, (2026) </v>
      </c>
      <c r="B181" s="18" t="str">
        <f t="shared" si="50"/>
        <v>Difficult decisions: navigating ethics in the Bundibugyo virus disease outbreak</v>
      </c>
      <c r="C181" s="19" t="str">
        <f t="shared" si="51"/>
        <v>Commentary, Peer-reviewed publication</v>
      </c>
      <c r="D181" s="19" t="str">
        <f t="shared" si="52"/>
        <v>Bundibugyo</v>
      </c>
      <c r="E181" s="19" t="str">
        <f t="shared" si="53"/>
        <v>Yes</v>
      </c>
      <c r="F181" s="19" t="str">
        <f t="shared" si="54"/>
        <v/>
      </c>
      <c r="G181" s="19" t="str">
        <f t="shared" si="55"/>
        <v/>
      </c>
      <c r="H181" s="19" t="str">
        <f t="shared" si="56"/>
        <v/>
      </c>
      <c r="I181" s="19" t="str">
        <f t="shared" si="57"/>
        <v/>
      </c>
      <c r="J181" s="5" t="str">
        <f t="shared" si="58"/>
        <v/>
      </c>
      <c r="K181" s="5" t="str">
        <f t="shared" si="59"/>
        <v/>
      </c>
      <c r="L181" s="5"/>
      <c r="M181"/>
      <c r="N181" s="2" t="str">
        <f t="shared" si="60"/>
        <v>https://doi.org/10.1016/j.lanmic.2026.101488</v>
      </c>
      <c r="O181" s="20">
        <v>720</v>
      </c>
      <c r="P181" s="20" t="s">
        <v>1405</v>
      </c>
      <c r="Q181" s="20" t="s">
        <v>1221</v>
      </c>
      <c r="R181" s="20" t="s">
        <v>1222</v>
      </c>
      <c r="S181" s="20" t="s">
        <v>1223</v>
      </c>
      <c r="T181" s="20" t="s">
        <v>266</v>
      </c>
      <c r="U181" s="2"/>
      <c r="V181" s="20">
        <v>2</v>
      </c>
      <c r="W181" s="2"/>
      <c r="X181" s="20" t="s">
        <v>1224</v>
      </c>
      <c r="Y181" s="2"/>
      <c r="Z181" s="20" t="s">
        <v>21</v>
      </c>
      <c r="AA181" s="2"/>
      <c r="AB181" s="2"/>
      <c r="AC181" s="2"/>
      <c r="AD181" s="20" t="s">
        <v>352</v>
      </c>
      <c r="AE181" s="2"/>
      <c r="AF181" s="20" t="s">
        <v>270</v>
      </c>
      <c r="AG181" s="2"/>
      <c r="AH181" s="2"/>
      <c r="AI181" s="20" t="s">
        <v>271</v>
      </c>
      <c r="AJ181" s="2"/>
      <c r="AK181" s="20" t="s">
        <v>425</v>
      </c>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row>
    <row r="182" spans="1:297" s="12" customFormat="1" ht="60" customHeight="1" x14ac:dyDescent="0.25">
      <c r="A182" s="5" t="str">
        <f t="shared" si="49"/>
        <v>Ayitewala, et al, (2026), Lancet (London, England)</v>
      </c>
      <c r="B182" s="18" t="str">
        <f t="shared" si="50"/>
        <v>Bundibugyo ebolavirus from the 2026 Ebola outbreak in Uganda and DR Congo: a new variant</v>
      </c>
      <c r="C182" s="19" t="str">
        <f t="shared" si="51"/>
        <v>Primary - short communication, Descriptive, Peer-reviewed publication</v>
      </c>
      <c r="D182" s="19" t="str">
        <f t="shared" si="52"/>
        <v>Bundibugyo</v>
      </c>
      <c r="E182" s="19" t="str">
        <f t="shared" si="53"/>
        <v>Yes</v>
      </c>
      <c r="F182" s="19" t="str">
        <f t="shared" si="54"/>
        <v>Using next-generation sequencing, this study obtained a complete genome with 99.7% genome coverage of BDBV. Investigation of this new genome revealed that the new variant causing the current outbreak showed the closest evolutionary relationship to the sequences from the 2007 Uganda outbreak ,confirming the distinct evolutionary behaviour of the new BDBV genomes of the ongoing 2026 outbreak, with a divergence rate of 0.0125, which was higher than that of the previous human BDBV isolates, suggesting that the  ongoing Bundibugyo virus disease outbreak in DR Congo and Uganda is spreading via a novel BDBV variant.</v>
      </c>
      <c r="G182" s="19" t="str">
        <f t="shared" si="55"/>
        <v>Phylogenetic analysis/molecular epidemiology</v>
      </c>
      <c r="H182" s="19" t="str">
        <f t="shared" si="56"/>
        <v>Human - General population</v>
      </c>
      <c r="I182" s="19" t="str">
        <f t="shared" si="57"/>
        <v/>
      </c>
      <c r="J182" s="5" t="str">
        <f t="shared" si="58"/>
        <v>Phylogenetic analysis/molecular epidemiology:  Compared with the old sequences reported from DR Congo in 2012, the new variant showed the closest evolutionary relationship to the sequences from the 2007 Uganda outbreak. To validate the calculated UPGMA tree, two additional phylogenetic trees of the new and previously reported BDBV sequences were also generated using the Nextclade phylogenetic framework and neighbour–joining phylogenetic analysis. These trees also confirmed the distinct evolutionary behaviour of the new BDBV genomes of the ongoing 2026 outbreak, with a divergence rate of 0.0125, which was higher than that of the previous human BDBV isolates. Taken together, the phylogenetic analysis of the 2026 BDBV genomes suggests that the ongoing Bundibugyo virus disease outbreak in DR Congo and Uganda is spreading via a novel BDBV variant.</v>
      </c>
      <c r="K182" s="5" t="str">
        <f t="shared" si="59"/>
        <v>nitial laboratory detection and speciation of the virus was based on real-time PCR (rtPCR) performed using the RealStar Filovirus Screen rtPCR Kit 1.0 and RealStar Filovirus Type rtPCR Kit 2.0, together with the BioPerfectus Ebola Virus rtPCR Kit. Assays were performed at the Central Emergency Response and Surveillance Laboratory in Wandegeya, Uganda. Other major viral pathogens were excluded using the Quantiplus Major Fever Panel 1 .Using next-generation sequencing on the Illumina NextSeq 2000 Sequencing System, authors obtained a complete genome with 99·7% genome coverage of BDBV (reference genome GenBank accession number NC_014373.1). The sequences from the 2026 BDBV outbreak have since been deposited in the Pathoplexus database (sequence IDs: PP_006XHL9.1 and PP_006XHKB.1 [DR Congo], and PP_006XCJJ.1 [Uganda]) and are publicly accessible. To investigate the phylogeny of the newly sequenced BDBV genome, authors constructed a phylogenetic tree using the unweighted pair group method with arithmetic mean (UPGMA) and an alignment score-based approach.</v>
      </c>
      <c r="L182" s="5"/>
      <c r="M182"/>
      <c r="N182" s="2" t="str">
        <f t="shared" si="60"/>
        <v>https://doi.org/10.1016/s0140-6736(26)01079-2</v>
      </c>
      <c r="O182" s="20">
        <v>721</v>
      </c>
      <c r="P182" s="20" t="s">
        <v>1225</v>
      </c>
      <c r="Q182" s="20" t="s">
        <v>1226</v>
      </c>
      <c r="R182" s="20" t="s">
        <v>1227</v>
      </c>
      <c r="S182" s="20" t="s">
        <v>1228</v>
      </c>
      <c r="T182" s="20" t="s">
        <v>266</v>
      </c>
      <c r="U182" s="2"/>
      <c r="V182" s="20" t="s">
        <v>267</v>
      </c>
      <c r="W182" s="2"/>
      <c r="X182" s="20" t="s">
        <v>1229</v>
      </c>
      <c r="Y182" s="2"/>
      <c r="Z182" s="20" t="s">
        <v>21</v>
      </c>
      <c r="AA182" s="2"/>
      <c r="AB182" s="2"/>
      <c r="AC182" s="2"/>
      <c r="AD182" s="20" t="s">
        <v>352</v>
      </c>
      <c r="AE182" s="2"/>
      <c r="AF182" s="20" t="s">
        <v>270</v>
      </c>
      <c r="AG182" s="2"/>
      <c r="AH182" s="2"/>
      <c r="AI182" s="20" t="s">
        <v>271</v>
      </c>
      <c r="AJ182" s="2"/>
      <c r="AK182" s="20" t="s">
        <v>490</v>
      </c>
      <c r="AL182" s="2"/>
      <c r="AM182" s="2"/>
      <c r="AN182" s="2"/>
      <c r="AO182" s="2"/>
      <c r="AP182" s="20" t="s">
        <v>1230</v>
      </c>
      <c r="AQ182" s="2"/>
      <c r="AR182" s="20" t="s">
        <v>37</v>
      </c>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0" t="s">
        <v>77</v>
      </c>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0" t="s">
        <v>73</v>
      </c>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0" t="s">
        <v>73</v>
      </c>
      <c r="EW182" s="2"/>
      <c r="EX182" s="2"/>
      <c r="EY182" s="2"/>
      <c r="EZ182" s="2"/>
      <c r="FA182" s="2"/>
      <c r="FB182" s="2"/>
      <c r="FC182" s="2"/>
      <c r="FD182" s="2"/>
      <c r="FE182" s="2"/>
      <c r="FF182" s="2"/>
      <c r="FG182" s="2"/>
      <c r="FH182" s="2"/>
      <c r="FI182" s="2"/>
      <c r="FJ182" s="2"/>
      <c r="FK182" s="2"/>
      <c r="FL182" s="2"/>
      <c r="FM182" s="2"/>
      <c r="FN182" s="2"/>
      <c r="FO182" s="2"/>
      <c r="FP182" s="2"/>
      <c r="FQ182" s="2"/>
      <c r="FR182" s="20" t="s">
        <v>73</v>
      </c>
      <c r="FS182" s="2"/>
      <c r="FT182" s="2"/>
      <c r="FU182" s="2"/>
      <c r="FV182" s="2"/>
      <c r="FW182" s="2"/>
      <c r="FX182" s="2"/>
      <c r="FY182" s="2"/>
      <c r="FZ182" s="2"/>
      <c r="GA182" s="2"/>
      <c r="GB182" s="2"/>
      <c r="GC182" s="2"/>
      <c r="GD182" s="2"/>
      <c r="GE182" s="2"/>
      <c r="GF182" s="20" t="s">
        <v>73</v>
      </c>
      <c r="GG182" s="2"/>
      <c r="GH182" s="2"/>
      <c r="GI182" s="2"/>
      <c r="GJ182" s="2"/>
      <c r="GK182" s="2"/>
      <c r="GL182" s="2"/>
      <c r="GM182" s="2"/>
      <c r="GN182" s="2"/>
      <c r="GO182" s="2"/>
      <c r="GP182" s="20" t="s">
        <v>73</v>
      </c>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0" t="s">
        <v>73</v>
      </c>
      <c r="HS182" s="2"/>
      <c r="HT182" s="2"/>
      <c r="HU182" s="2"/>
      <c r="HV182" s="2"/>
      <c r="HW182" s="2"/>
      <c r="HX182" s="2"/>
      <c r="HY182" s="2"/>
      <c r="HZ182" s="2"/>
      <c r="IA182" s="2"/>
      <c r="IB182" s="20" t="s">
        <v>73</v>
      </c>
      <c r="IC182" s="2"/>
      <c r="ID182" s="2"/>
      <c r="IE182" s="2"/>
      <c r="IF182" s="2"/>
      <c r="IG182" s="2"/>
      <c r="IH182" s="2"/>
      <c r="II182" s="2"/>
      <c r="IJ182" s="20" t="s">
        <v>73</v>
      </c>
      <c r="IK182" s="2"/>
      <c r="IL182" s="2"/>
      <c r="IM182" s="2"/>
      <c r="IN182" s="2"/>
      <c r="IO182" s="2"/>
      <c r="IP182" s="2"/>
      <c r="IQ182" s="2"/>
      <c r="IR182" s="20" t="s">
        <v>227</v>
      </c>
      <c r="IS182" s="2"/>
      <c r="IT182" s="2"/>
      <c r="IU182" s="2"/>
      <c r="IV182" s="2"/>
      <c r="IW182" s="2"/>
      <c r="IX182" s="20" t="s">
        <v>73</v>
      </c>
      <c r="IY182" s="2"/>
      <c r="IZ182" s="2"/>
      <c r="JA182" s="2"/>
      <c r="JB182" s="20" t="s">
        <v>73</v>
      </c>
      <c r="JC182" s="2"/>
      <c r="JD182" s="2"/>
      <c r="JE182" s="2"/>
      <c r="JF182" s="20" t="s">
        <v>73</v>
      </c>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0" t="s">
        <v>73</v>
      </c>
      <c r="KG182" s="2"/>
      <c r="KH182" s="20" t="s">
        <v>1231</v>
      </c>
      <c r="KI182" s="2"/>
      <c r="KJ182" s="20" t="s">
        <v>1232</v>
      </c>
      <c r="KK182" s="2"/>
    </row>
    <row r="183" spans="1:297" s="12" customFormat="1" ht="60" customHeight="1" x14ac:dyDescent="0.25">
      <c r="A183" s="5" t="str">
        <f t="shared" si="49"/>
        <v xml:space="preserve">Jjingo, et al, (2026) </v>
      </c>
      <c r="B183" s="18" t="str">
        <f t="shared" si="50"/>
        <v>Early insights into viability of Ebola monoclonal antibodies for the 2026 Bundibugyo virus disease outbreak</v>
      </c>
      <c r="C183" s="19" t="str">
        <f t="shared" si="51"/>
        <v>Primary - article, Experimental, Preprint</v>
      </c>
      <c r="D183" s="19" t="str">
        <f t="shared" si="52"/>
        <v>Bundibugyo</v>
      </c>
      <c r="E183" s="19" t="str">
        <f t="shared" si="53"/>
        <v>Yes</v>
      </c>
      <c r="F183" s="19" t="str">
        <f t="shared" si="54"/>
        <v>This study performed  genomic and structural analyses of 44 BDBV sequences, including 12 from the 2026 outbreak, to assess mAb (mAb114, Inmazeb and MBP134) binding to the viral glycoprotein (GP).  While the MBP134 cocktail epitopes remain conserved, mAb114 binding is compromised by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MBP134 maintains efficacy against BDBV, highlighting its potential as a neutralizing therapeutic.</v>
      </c>
      <c r="G183" s="19" t="str">
        <f t="shared" si="55"/>
        <v>pathogen  Protein-inhibitor/binding interactions</v>
      </c>
      <c r="H183" s="19" t="str">
        <f t="shared" si="56"/>
        <v>Human - General population</v>
      </c>
      <c r="I183" s="19" t="str">
        <f t="shared" si="57"/>
        <v/>
      </c>
      <c r="J183" s="5" t="str">
        <f t="shared" si="58"/>
        <v>Protein-inhibitor/binding interactions: 
mAB114: Ebanga (mAb114) epitope contained E112D and P116A mutations, altering the EBOV sequence from LEIKKPDGS to LDIKKADGS. The AF3-predicted BDBV GP-mAb114 complex showed that the antibody bound to an alternative site rather than the target epitope, in contrast to the EBOV GP-mAb114 complex, where mAb114 was predicted to bind at its intended target epitope in line with the crystal complex structure (PDB:5FHC). This BDBV off-target binding suggests epitope mutations (E112D, P116A) alter the canonical binding interface, rendering it unrecognizable to mAb114. Rosetta-based in silico mutagenesis of these epitope BDBV mutations onto EBOV GP-mAb114 complex resulted in destabilization of the mAb114 binding interface. E112D had the strongest destabilizing effect on binding affinity (ΔΔG = + 1.24 kcal mol− 1), corresponding to an estimated 54% reduction in affinity relative to the wild-type complex, while P116A decreased affinity by 34% (ΔΔG = + 0.70 kcal mol− 1). Therefore, naturally occurring variation within the BDBV mAb114 epitope may impair antibody-glycoprotein interactions and potentially reduce the neutralization potential of mAb114 against circulating BDBV strains.
Inmazeb: Maftivimab (REGN3479), which binds a quaternary epitope spanning the beta 1-beta 2 loops (P34, L43, V45), GP1 IFL residues 527–530 (IGLA), residues 535–536 (FG), and GP2 HR1 (Q560, E564, Q567, glycan Asn563), remained conserved, although the GP2 N-terminal region exhibited mutations (I504T, V505L, A507T). Odesivimab (REGN3471) targets both the glycan cap residues G143, T144, and P146, which were conserved, and the GP1 head at residues 111–119 (LEIKKPDGS), which showed substitutions (E112D, P116A). The atoltivimab (REGN3470) epitope sites; GP1 residues 260–270 (IYTSGKRSNTT) had mutations (S263N, K265R), while residues N278, P279, D282, and N292 remained conserved, although a mutation was present at E280T. . The AF3-predicted BDBV GP-Inmazeb complex showed that the three antibodies bound firmly to their target epitopes when binding jointly (Fig. 2A). When modelled alone with the BDBV GP, antibody Odesivimab (REGN3471) was predicted to interact with its BDBV GP epitope site even in presence of mutations at E112D and P116A (Fig. 2D), whereas both atoltivimab (REGN3470) and Maftivimab (REGN3479) did not bind to the target epitope. The  introduction of BDBV epitope mutations into the EBOV-Inmazeb complex revealed that the trimeric complex maintains net favorable binding interactions within the mutated BDBV GP (total ΔΔG = − 397.3696 kcal mol⁻¹), demonstrating that collectively, these mutations do not substantially disrupt the trimeric antibody binding to BDBV. 
MBP134: MBP134 target epitopes were conserved across all analyzed BDBV, supporting its design as a broad-spectrum therapeutic for both EBOV and BDBV. The MBP134 components ADI-15878 and ADI-15946 antibodies docked the BDBV GP at the designated epitope sites both in the predicted AF3 structure of the BDBV GP-ADI-15946 complex and the experimental structure BDBV GP-ADI-15878 complex. This corresponds with the experimental structures of EBOV GP-ADI-15878 (PDB:6EA7) and EBOV GP-ADI-15946 (PDB:6MAM).</v>
      </c>
      <c r="K183" s="5" t="str">
        <f t="shared" si="59"/>
        <v>The researchers analyzed 44 Bundibugyo virus (BDBV) glycoprotein sequences from the 2007, 2012, and 2026 outbreaks to identify mutations, assess epitope conservation, and compare them with Ebola virus glycoprotein sequences. Using AlphaFold 3, ChimeraX, and Rosetta software, they performed structural modeling and in silico mutagenesis to predict how BDBV mutations affect the binding of monoclonal antibody therapies, including mAb114 (Ebanga), Inmazeb, and MBP134. Predicted antibody–glycoprotein interactions and binding-energy changes were compared with available experimental structures to evaluate the potential impact of BDBV genetic variation on therapeutic efficacy.</v>
      </c>
      <c r="L183" s="5"/>
      <c r="M183"/>
      <c r="N183" s="2" t="str">
        <f t="shared" si="60"/>
        <v>https://doi.org/10.21203/rs.3.rs-10270397/v1</v>
      </c>
      <c r="O183" s="20">
        <v>722</v>
      </c>
      <c r="P183" s="20" t="s">
        <v>1406</v>
      </c>
      <c r="Q183" s="20" t="s">
        <v>1233</v>
      </c>
      <c r="R183" s="20" t="s">
        <v>1234</v>
      </c>
      <c r="S183" s="20" t="s">
        <v>1235</v>
      </c>
      <c r="T183" s="20" t="s">
        <v>266</v>
      </c>
      <c r="U183" s="2"/>
      <c r="V183" s="20" t="s">
        <v>267</v>
      </c>
      <c r="W183" s="2"/>
      <c r="X183" s="20" t="s">
        <v>1236</v>
      </c>
      <c r="Y183" s="2"/>
      <c r="Z183" s="20" t="s">
        <v>21</v>
      </c>
      <c r="AA183" s="2"/>
      <c r="AB183" s="2"/>
      <c r="AC183" s="2"/>
      <c r="AD183" s="20" t="s">
        <v>352</v>
      </c>
      <c r="AE183" s="2"/>
      <c r="AF183" s="20" t="s">
        <v>270</v>
      </c>
      <c r="AG183" s="2"/>
      <c r="AH183" s="2"/>
      <c r="AI183" s="20" t="s">
        <v>353</v>
      </c>
      <c r="AJ183" s="2"/>
      <c r="AK183" s="20" t="s">
        <v>272</v>
      </c>
      <c r="AL183" s="2"/>
      <c r="AM183" s="2"/>
      <c r="AN183" s="2"/>
      <c r="AO183" s="2"/>
      <c r="AP183" s="20" t="s">
        <v>1237</v>
      </c>
      <c r="AQ183" s="2"/>
      <c r="AR183" s="20" t="s">
        <v>37</v>
      </c>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0" t="s">
        <v>79</v>
      </c>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0" t="s">
        <v>73</v>
      </c>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0" t="s">
        <v>73</v>
      </c>
      <c r="EW183" s="2"/>
      <c r="EX183" s="2"/>
      <c r="EY183" s="2"/>
      <c r="EZ183" s="2"/>
      <c r="FA183" s="2"/>
      <c r="FB183" s="2"/>
      <c r="FC183" s="2"/>
      <c r="FD183" s="2"/>
      <c r="FE183" s="2"/>
      <c r="FF183" s="2"/>
      <c r="FG183" s="2"/>
      <c r="FH183" s="2"/>
      <c r="FI183" s="2"/>
      <c r="FJ183" s="2"/>
      <c r="FK183" s="2"/>
      <c r="FL183" s="2"/>
      <c r="FM183" s="2"/>
      <c r="FN183" s="2"/>
      <c r="FO183" s="2"/>
      <c r="FP183" s="2"/>
      <c r="FQ183" s="2"/>
      <c r="FR183" s="20" t="s">
        <v>73</v>
      </c>
      <c r="FS183" s="2"/>
      <c r="FT183" s="2"/>
      <c r="FU183" s="2"/>
      <c r="FV183" s="2"/>
      <c r="FW183" s="2"/>
      <c r="FX183" s="2"/>
      <c r="FY183" s="2"/>
      <c r="FZ183" s="2"/>
      <c r="GA183" s="2"/>
      <c r="GB183" s="2"/>
      <c r="GC183" s="2"/>
      <c r="GD183" s="2"/>
      <c r="GE183" s="2"/>
      <c r="GF183" s="20" t="s">
        <v>73</v>
      </c>
      <c r="GG183" s="2"/>
      <c r="GH183" s="2"/>
      <c r="GI183" s="2"/>
      <c r="GJ183" s="2"/>
      <c r="GK183" s="2"/>
      <c r="GL183" s="2"/>
      <c r="GM183" s="2"/>
      <c r="GN183" s="2"/>
      <c r="GO183" s="2"/>
      <c r="GP183" s="20" t="s">
        <v>73</v>
      </c>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0" t="s">
        <v>73</v>
      </c>
      <c r="HS183" s="2"/>
      <c r="HT183" s="2"/>
      <c r="HU183" s="2"/>
      <c r="HV183" s="2"/>
      <c r="HW183" s="2"/>
      <c r="HX183" s="2"/>
      <c r="HY183" s="2"/>
      <c r="HZ183" s="2"/>
      <c r="IA183" s="2"/>
      <c r="IB183" s="20" t="s">
        <v>73</v>
      </c>
      <c r="IC183" s="2"/>
      <c r="ID183" s="2"/>
      <c r="IE183" s="2"/>
      <c r="IF183" s="2"/>
      <c r="IG183" s="2"/>
      <c r="IH183" s="2"/>
      <c r="II183" s="2"/>
      <c r="IJ183" s="2"/>
      <c r="IK183" s="2"/>
      <c r="IL183" s="2"/>
      <c r="IM183" s="2"/>
      <c r="IN183" s="2"/>
      <c r="IO183" s="2"/>
      <c r="IP183" s="20" t="s">
        <v>225</v>
      </c>
      <c r="IQ183" s="2"/>
      <c r="IR183" s="2"/>
      <c r="IS183" s="2"/>
      <c r="IT183" s="2"/>
      <c r="IU183" s="2"/>
      <c r="IV183" s="2"/>
      <c r="IW183" s="2"/>
      <c r="IX183" s="20" t="s">
        <v>73</v>
      </c>
      <c r="IY183" s="2"/>
      <c r="IZ183" s="2"/>
      <c r="JA183" s="2"/>
      <c r="JB183" s="20" t="s">
        <v>73</v>
      </c>
      <c r="JC183" s="2"/>
      <c r="JD183" s="2"/>
      <c r="JE183" s="2"/>
      <c r="JF183" s="20" t="s">
        <v>73</v>
      </c>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0" t="s">
        <v>73</v>
      </c>
      <c r="KG183" s="2"/>
      <c r="KH183" s="20" t="s">
        <v>1238</v>
      </c>
      <c r="KI183" s="2"/>
      <c r="KJ183" s="20" t="s">
        <v>1239</v>
      </c>
      <c r="KK183" s="2"/>
    </row>
    <row r="184" spans="1:297" s="12" customFormat="1" ht="60" customHeight="1" x14ac:dyDescent="0.25">
      <c r="A184" s="5" t="str">
        <f t="shared" si="49"/>
        <v>FujiwaraS, et al, (2026), New Microbes and New Infections</v>
      </c>
      <c r="B184" s="18" t="str">
        <f t="shared" si="50"/>
        <v>R0 of Bundibugyo virus disease and the critical issue of case ascertainment in the Democratic Republic of the Congo</v>
      </c>
      <c r="C184" s="19" t="str">
        <f t="shared" si="51"/>
        <v>Primary - short communication, Descriptive, Peer-reviewed publication</v>
      </c>
      <c r="D184" s="19" t="str">
        <f t="shared" si="52"/>
        <v>Bundibugyo</v>
      </c>
      <c r="E184" s="19" t="str">
        <f t="shared" si="53"/>
        <v>Yes</v>
      </c>
      <c r="F184" s="19" t="str">
        <f t="shared" si="54"/>
        <v>This exponential growth model of suspected and confirmed BDBV cases by 30 May 2026 estimated growth rate at 0.093 per day (95% CI: 0.086-0.101)  and R0 at 3.26 (95%CI 3.01-3.52). When focused on confirmed cases only,  growth rate was estimated at 0.212 per day (95%CI: 0.183-0.241) and R0 at 8.90 (95%CI: 7.17-10.87), a considerably higher estimate than 1.5—2.5 for 2014 and 2018 outbreaks.</v>
      </c>
      <c r="G184" s="19" t="str">
        <f t="shared" si="55"/>
        <v>Reproduction Number</v>
      </c>
      <c r="H184" s="19" t="str">
        <f t="shared" si="56"/>
        <v>Human - General population</v>
      </c>
      <c r="I184" s="19" t="str">
        <f t="shared" si="57"/>
        <v/>
      </c>
      <c r="J184" s="5" t="str">
        <f t="shared" si="58"/>
        <v>Epidemiological Parameter - Reproduction Number (R0/Rt): 
Fitting an exponential growth model to suspected and confirmed cases by 30 May 2026, growth rate was estimated at 0.093 per day (95% confidence interval (CI): 0.086-0.101). This estimate was greater than 0.052 per day in 2014 and 0.060 per day in 2018. Employing a gamma distributed generation time with mean 15.3 days and variance 86.5 days, R0 of current BVD outbreak was estimated at 3.26 (95% CI: 3.01-3.52). However, in June 2026, the World Health Organization ceased to update the number of suspected cases, and Africa Centers for Disease Control and Prevention (CDC) reduced the cumulative count of suspected cases who turned out to be negative by laboratory testing. Although controversial, the cumulative number of suspected cases thus decreased as a function of time in the Africa CDC report. When we focused on confirmed cases only, the growth rate of cases by 30 May 2026 was 0.212 per day (95%CI: 0.183-0.241), yielding R0 at 8.90 (95%CI: 7.17-10.87), a considerably higher estimate than 1.5—2.5 for 2014 and 2018 outbreaks.</v>
      </c>
      <c r="K184" s="5" t="str">
        <f t="shared" si="59"/>
        <v>An exponential growth model was fitted to suspected and confirmed cases by May 30, 2026 and a gamma distributed generation time with mean 15.3 days and variance 86.5 days was employed as well.</v>
      </c>
      <c r="L184" s="5"/>
      <c r="M184"/>
      <c r="N184" s="2" t="str">
        <f t="shared" si="60"/>
        <v>https://doi.org/10.1016/j.nmni.2026.101811</v>
      </c>
      <c r="O184" s="20">
        <v>725</v>
      </c>
      <c r="P184" s="20" t="s">
        <v>1240</v>
      </c>
      <c r="Q184" s="20" t="s">
        <v>1241</v>
      </c>
      <c r="R184" s="20" t="s">
        <v>1242</v>
      </c>
      <c r="S184" s="20" t="s">
        <v>1243</v>
      </c>
      <c r="T184" s="20" t="s">
        <v>266</v>
      </c>
      <c r="U184" s="2"/>
      <c r="V184" s="20" t="s">
        <v>267</v>
      </c>
      <c r="W184" s="2"/>
      <c r="X184" s="20" t="s">
        <v>1244</v>
      </c>
      <c r="Y184" s="2"/>
      <c r="Z184" s="20" t="s">
        <v>21</v>
      </c>
      <c r="AA184" s="2"/>
      <c r="AB184" s="2"/>
      <c r="AC184" s="2"/>
      <c r="AD184" s="20" t="s">
        <v>352</v>
      </c>
      <c r="AE184" s="2"/>
      <c r="AF184" s="20" t="s">
        <v>270</v>
      </c>
      <c r="AG184" s="2"/>
      <c r="AH184" s="2"/>
      <c r="AI184" s="20" t="s">
        <v>271</v>
      </c>
      <c r="AJ184" s="2"/>
      <c r="AK184" s="20" t="s">
        <v>490</v>
      </c>
      <c r="AL184" s="2"/>
      <c r="AM184" s="2"/>
      <c r="AN184" s="2"/>
      <c r="AO184" s="2"/>
      <c r="AP184" s="20" t="s">
        <v>1245</v>
      </c>
      <c r="AQ184" s="2"/>
      <c r="AR184" s="20" t="s">
        <v>37</v>
      </c>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0" t="s">
        <v>77</v>
      </c>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0" t="s">
        <v>73</v>
      </c>
      <c r="DW184" s="2"/>
      <c r="DX184" s="2"/>
      <c r="DY184" s="2"/>
      <c r="DZ184" s="2"/>
      <c r="EA184" s="2"/>
      <c r="EB184" s="2"/>
      <c r="EC184" s="2"/>
      <c r="ED184" s="2"/>
      <c r="EE184" s="2"/>
      <c r="EF184" s="20" t="s">
        <v>125</v>
      </c>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0" t="s">
        <v>73</v>
      </c>
      <c r="FS184" s="2"/>
      <c r="FT184" s="2"/>
      <c r="FU184" s="2"/>
      <c r="FV184" s="2"/>
      <c r="FW184" s="2"/>
      <c r="FX184" s="2"/>
      <c r="FY184" s="2"/>
      <c r="FZ184" s="2"/>
      <c r="GA184" s="2"/>
      <c r="GB184" s="2"/>
      <c r="GC184" s="2"/>
      <c r="GD184" s="2"/>
      <c r="GE184" s="2"/>
      <c r="GF184" s="20" t="s">
        <v>73</v>
      </c>
      <c r="GG184" s="2"/>
      <c r="GH184" s="2"/>
      <c r="GI184" s="2"/>
      <c r="GJ184" s="2"/>
      <c r="GK184" s="2"/>
      <c r="GL184" s="2"/>
      <c r="GM184" s="2"/>
      <c r="GN184" s="2"/>
      <c r="GO184" s="2"/>
      <c r="GP184" s="20" t="s">
        <v>73</v>
      </c>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0" t="s">
        <v>73</v>
      </c>
      <c r="HS184" s="2"/>
      <c r="HT184" s="2"/>
      <c r="HU184" s="2"/>
      <c r="HV184" s="2"/>
      <c r="HW184" s="2"/>
      <c r="HX184" s="2"/>
      <c r="HY184" s="2"/>
      <c r="HZ184" s="2"/>
      <c r="IA184" s="2"/>
      <c r="IB184" s="20" t="s">
        <v>73</v>
      </c>
      <c r="IC184" s="2"/>
      <c r="ID184" s="2"/>
      <c r="IE184" s="2"/>
      <c r="IF184" s="2"/>
      <c r="IG184" s="2"/>
      <c r="IH184" s="2"/>
      <c r="II184" s="2"/>
      <c r="IJ184" s="20" t="s">
        <v>73</v>
      </c>
      <c r="IK184" s="2"/>
      <c r="IL184" s="2"/>
      <c r="IM184" s="2"/>
      <c r="IN184" s="2"/>
      <c r="IO184" s="2"/>
      <c r="IP184" s="2"/>
      <c r="IQ184" s="2"/>
      <c r="IR184" s="2"/>
      <c r="IS184" s="2"/>
      <c r="IT184" s="20" t="s">
        <v>73</v>
      </c>
      <c r="IU184" s="2"/>
      <c r="IV184" s="2"/>
      <c r="IW184" s="2"/>
      <c r="IX184" s="20" t="s">
        <v>73</v>
      </c>
      <c r="IY184" s="2"/>
      <c r="IZ184" s="2"/>
      <c r="JA184" s="2"/>
      <c r="JB184" s="20" t="s">
        <v>73</v>
      </c>
      <c r="JC184" s="2"/>
      <c r="JD184" s="2"/>
      <c r="JE184" s="2"/>
      <c r="JF184" s="20" t="s">
        <v>73</v>
      </c>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0" t="s">
        <v>73</v>
      </c>
      <c r="KG184" s="2"/>
      <c r="KH184" s="20" t="s">
        <v>1246</v>
      </c>
      <c r="KI184" s="2"/>
      <c r="KJ184" s="20" t="s">
        <v>1247</v>
      </c>
      <c r="KK184" s="2"/>
    </row>
    <row r="185" spans="1:297" s="12" customFormat="1" ht="60" customHeight="1" x14ac:dyDescent="0.25">
      <c r="A185" s="5" t="str">
        <f t="shared" si="49"/>
        <v xml:space="preserve">WHO, (2026) </v>
      </c>
      <c r="B185" s="18" t="str">
        <f t="shared" si="50"/>
        <v>WHO target product profile for Bundibugyo virus disease vaccines, 14 July 2026</v>
      </c>
      <c r="C185" s="19" t="str">
        <f t="shared" si="51"/>
        <v>Guideline, Other grey literature report</v>
      </c>
      <c r="D185" s="19" t="str">
        <f t="shared" si="52"/>
        <v>Bundibugyo</v>
      </c>
      <c r="E185" s="19" t="str">
        <f t="shared" si="53"/>
        <v>Yes</v>
      </c>
      <c r="F185" s="19" t="str">
        <f t="shared" si="54"/>
        <v>This publication outlines the intended public health use of Bundibugyo virus vaccines in outbreak response and preparedness, including their role in protecting at-risk populations and contributing to outbreak control. It describes the desired vaccine attributes across key domains, including indications, target populations, efficacy, safety, dosing regimen, route of administration, storage and stability, manufacturing considerations, and programmatic suitability for deployment in resource-constrained settings. The document also explains how the target product profile (TPP) is intended to support the World Health Organization policy recommendations, Emergency Use Listing, prequalification, and regulatory decision-making, while recognizing that overall benefit-risk considerations may outweigh individual product characteristics. The TPP provides a common framework to accelerate the development, evaluation and availability of safe, effective and accessible vaccines for the prevention and control of Bundibugyo virus disease.</v>
      </c>
      <c r="G185" s="19" t="str">
        <f t="shared" si="55"/>
        <v/>
      </c>
      <c r="H185" s="19" t="str">
        <f t="shared" si="56"/>
        <v/>
      </c>
      <c r="I185" s="19" t="str">
        <f t="shared" si="57"/>
        <v/>
      </c>
      <c r="J185" s="5" t="str">
        <f t="shared" si="58"/>
        <v/>
      </c>
      <c r="K185" s="5" t="str">
        <f t="shared" si="59"/>
        <v/>
      </c>
      <c r="L185" s="5"/>
      <c r="M185"/>
      <c r="N185" s="2" t="str">
        <f t="shared" si="60"/>
        <v>https://www.who.int/publications/i/item/B09835</v>
      </c>
      <c r="O185" s="20">
        <v>728</v>
      </c>
      <c r="P185" s="20" t="s">
        <v>1362</v>
      </c>
      <c r="Q185" s="20" t="s">
        <v>1248</v>
      </c>
      <c r="R185" s="2"/>
      <c r="S185" s="20" t="s">
        <v>1249</v>
      </c>
      <c r="T185" s="20" t="s">
        <v>266</v>
      </c>
      <c r="U185" s="2"/>
      <c r="V185" s="20">
        <v>2</v>
      </c>
      <c r="W185" s="2"/>
      <c r="X185" s="20" t="s">
        <v>1249</v>
      </c>
      <c r="Y185" s="2"/>
      <c r="Z185" s="20" t="s">
        <v>21</v>
      </c>
      <c r="AA185" s="2"/>
      <c r="AB185" s="2"/>
      <c r="AC185" s="2"/>
      <c r="AD185" s="20" t="s">
        <v>352</v>
      </c>
      <c r="AE185" s="2"/>
      <c r="AF185" s="20" t="s">
        <v>270</v>
      </c>
      <c r="AG185" s="2"/>
      <c r="AH185" s="2"/>
      <c r="AI185" s="20" t="s">
        <v>306</v>
      </c>
      <c r="AJ185" s="2"/>
      <c r="AK185" s="20" t="s">
        <v>438</v>
      </c>
      <c r="AL185" s="2"/>
      <c r="AM185" s="20" t="s">
        <v>1250</v>
      </c>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row>
    <row r="186" spans="1:297" s="12" customFormat="1" ht="60" customHeight="1" x14ac:dyDescent="0.25">
      <c r="A186" s="5" t="str">
        <f t="shared" si="49"/>
        <v>Dunning, et al, (2026), Euro surveillance : bulletin Europeen sur les maladies transmissibles = European communicable disease bulletin</v>
      </c>
      <c r="B186" s="18" t="str">
        <f t="shared" si="50"/>
        <v>Screening and monitoring of travellers returning from countries affected by Bundibugyo virus: an overview of European approaches, July 2026</v>
      </c>
      <c r="C186" s="19" t="str">
        <f t="shared" si="51"/>
        <v>Other evidence synthesis, Peer-reviewed publication</v>
      </c>
      <c r="D186" s="19" t="str">
        <f t="shared" si="52"/>
        <v>Bundibugyo</v>
      </c>
      <c r="E186" s="19" t="str">
        <f t="shared" si="53"/>
        <v>Yes</v>
      </c>
      <c r="F186" s="19" t="str">
        <f t="shared" si="54"/>
        <v>This study outlined the BDBV control measures in Europe and the US as of June 2026 and compared them with those during the 2013-2016 Ebola virus outbreak. Compared with the 2013–2016 Ebola virus outbreak, when several European countries implemented heterogeneous airport entry screening measures, current practice has largely converged towards a harmonised risk-based approach, symptom monitoring, exposure-based follow-up and healthcare preparedness over general travel restrictions, routine arrival screening, or quarantine of asymptomatic travellers without high-risk exposure. Unlike the US, the European approach prioritises rapid clinical recognition and isolation, and exposure-based monitoring over a more restrictive quarantine strategy.</v>
      </c>
      <c r="G186" s="19" t="str">
        <f t="shared" si="55"/>
        <v>Border measure - PHM</v>
      </c>
      <c r="H186" s="19" t="str">
        <f t="shared" si="56"/>
        <v>Human - General population</v>
      </c>
      <c r="I186" s="19" t="str">
        <f t="shared" si="57"/>
        <v/>
      </c>
      <c r="J186" s="5" t="str">
        <f t="shared" si="58"/>
        <v>PHM-Border Measures: 
In the European Union/European Economic Area and the United Kingdom (UK), national policies show a high degree of convergence.  The countries covered here rely on early case recognition, exposure-based monitoring, prompt isolation of suspected cases, and management at designated referral centres, rather than routine entry screening for people returning from BDBV-affected countries. Returning travellers are advised to self-monitor for symptoms for 21 days and seek medical care promptly if symptoms develop. Healthcare workers and humanitarian personnel are monitored using a risk-based approach. Exposure level is determined according to potential exposure and use of personal protective equipment. Quarantine is only recommended for individuals with high-risk exposures.
Belgium: Formal guideline with no formal notification requirements between non-governmental organisations (NGOs) and regional health authorities, but relies on coordination between occupational health services and local public health authorities for the assessment and follow-up of returning healthcare workers. 
France: Relies heavily on coordination between humanitarian organisations, healthcare institutions, and public health authorities; individuals returning from the epidemic areas remain under self-monitoring and are advised to refer to seek medical advice if symptoms develop. 
Germany: Strongly recommends self-declaration to public health authorities for all healthcare workers who were involved in the care of Ebola disease patients in outbreak-affected areas. For those with unprotected or inadequately protected high-risk exposures, early consultation of the deploying organisation or the public health authority with the Permanent Working Group of Competence and Treatment Centres for high consequence infectious diseases centre is recommended for risk assessment and consideration of appropriate measures. 
Italy: Places particular emphasis on maintaining clinical vigilance through mandatory self-declaration to regional health authorities and may monitor high-risk individuals in high-level isolation facilities.
The Netherlands: has well-established coordination among NGOs, academic institutions, and healthcare organisations to facilitate the follow-up of returning healthcare workers and students. Returning healthcare workers are managed through occupational health and local public health procedures
Norway: Does not require routine reporting upon return, and quarantine is not routinely recommended. Individuals who develop symptoms are advised to isolate and contact healthcare services.
Spain: Adopts a risk-based approach, with 21-day self-monitoring for travellers returning from affected areas. Returning healthcare workers undergo exposure-based risk assessment and follow-up, with active monitoring and temporary work restrictions for significant exposures.
Sweden: Relies primarily on public health surveillance systems and exposure-based follow-up, with returning healthcare workers managed according to occupational health and local public health procedures
UK: Returning Workers Scheme, originally established for the 2013 to 2016 Ebola virus outbreak, which provides monitoring and support for returning humanitarian and healthcare workers. 
US: Temporary entry limitations have been introduced for all travellers recently in the DRC, with case-by-case humanitarian and law enforcement exceptions, and for certain travellers who have been in South Sudan or Uganda during the previous 21 days. For travellers authorised to enter the US, access is restricted to designated airports and includes mandatory health screening procedures upon arrival, with in-person evaluation by personnel from the Centers for Disease Control and Prevention. Asymptomatic travellers may continue to their destination under symptom monitoring for 21 days, whereas symptomatic individuals may be transferred to a hospital for isolation and diagnostic evaluation.</v>
      </c>
      <c r="K186" s="5" t="str">
        <f t="shared" si="59"/>
        <v>Authors outlined the measures in place in Europe and the US as in June 2026 and compared them with those adopted during the 2013 to 2016 Ebola virus outbreak, using publicly available information together with information shared by public health and infectious disease experts from different countries collaborating on preparedness for high-consequence infectious diseases within the newly formed European High-Level Isolation Unit network. Information on current preparedness measures (2026) was obtained from publicly available documents issued by national public health authorities, Ministries of Health, ECDC and CDC.  Information on the 2013–2016 Ebola virus outbreak was obtained from publicly available guidance and official documents available during that outbreak and supplemented by information provided by national public health and infectious diseases experts participating in the European High-Level Isolation Unit Network.</v>
      </c>
      <c r="L186" s="5"/>
      <c r="M186"/>
      <c r="N186" s="2" t="str">
        <f t="shared" si="60"/>
        <v>https://doi.org/10.2807/1560-7917.es.2026.31.28.2600578</v>
      </c>
      <c r="O186" s="20">
        <v>732</v>
      </c>
      <c r="P186" s="20" t="s">
        <v>1251</v>
      </c>
      <c r="Q186" s="20" t="s">
        <v>1252</v>
      </c>
      <c r="R186" s="20" t="s">
        <v>1253</v>
      </c>
      <c r="S186" s="20" t="s">
        <v>1254</v>
      </c>
      <c r="T186" s="20" t="s">
        <v>266</v>
      </c>
      <c r="U186" s="2"/>
      <c r="V186" s="20" t="s">
        <v>267</v>
      </c>
      <c r="W186" s="2"/>
      <c r="X186" s="20" t="s">
        <v>1255</v>
      </c>
      <c r="Y186" s="2"/>
      <c r="Z186" s="20" t="s">
        <v>21</v>
      </c>
      <c r="AA186" s="2"/>
      <c r="AB186" s="2"/>
      <c r="AC186" s="2"/>
      <c r="AD186" s="20" t="s">
        <v>352</v>
      </c>
      <c r="AE186" s="2"/>
      <c r="AF186" s="20" t="s">
        <v>270</v>
      </c>
      <c r="AG186" s="2"/>
      <c r="AH186" s="2"/>
      <c r="AI186" s="20" t="s">
        <v>271</v>
      </c>
      <c r="AJ186" s="2"/>
      <c r="AK186" s="20" t="s">
        <v>354</v>
      </c>
      <c r="AL186" s="2"/>
      <c r="AM186" s="2"/>
      <c r="AN186" s="2"/>
      <c r="AO186" s="2"/>
      <c r="AP186" s="20" t="s">
        <v>1256</v>
      </c>
      <c r="AQ186" s="2"/>
      <c r="AR186" s="20" t="s">
        <v>37</v>
      </c>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0" t="s">
        <v>73</v>
      </c>
      <c r="DA186" s="2"/>
      <c r="DB186" s="2"/>
      <c r="DC186" s="2"/>
      <c r="DD186" s="2"/>
      <c r="DE186" s="2"/>
      <c r="DF186" s="2"/>
      <c r="DG186" s="2"/>
      <c r="DH186" s="2"/>
      <c r="DI186" s="2"/>
      <c r="DJ186" s="2"/>
      <c r="DK186" s="2"/>
      <c r="DL186" s="2"/>
      <c r="DM186" s="2"/>
      <c r="DN186" s="2"/>
      <c r="DO186" s="2"/>
      <c r="DP186" s="2"/>
      <c r="DQ186" s="2"/>
      <c r="DR186" s="2"/>
      <c r="DS186" s="2"/>
      <c r="DT186" s="2"/>
      <c r="DU186" s="2"/>
      <c r="DV186" s="20" t="s">
        <v>73</v>
      </c>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0" t="s">
        <v>73</v>
      </c>
      <c r="EW186" s="2"/>
      <c r="EX186" s="2"/>
      <c r="EY186" s="2"/>
      <c r="EZ186" s="2"/>
      <c r="FA186" s="2"/>
      <c r="FB186" s="2"/>
      <c r="FC186" s="2"/>
      <c r="FD186" s="2"/>
      <c r="FE186" s="2"/>
      <c r="FF186" s="2"/>
      <c r="FG186" s="2"/>
      <c r="FH186" s="2"/>
      <c r="FI186" s="2"/>
      <c r="FJ186" s="2"/>
      <c r="FK186" s="2"/>
      <c r="FL186" s="2"/>
      <c r="FM186" s="2"/>
      <c r="FN186" s="2"/>
      <c r="FO186" s="2"/>
      <c r="FP186" s="2"/>
      <c r="FQ186" s="2"/>
      <c r="FR186" s="20" t="s">
        <v>73</v>
      </c>
      <c r="FS186" s="2"/>
      <c r="FT186" s="2"/>
      <c r="FU186" s="2"/>
      <c r="FV186" s="2"/>
      <c r="FW186" s="2"/>
      <c r="FX186" s="2"/>
      <c r="FY186" s="2"/>
      <c r="FZ186" s="2"/>
      <c r="GA186" s="2"/>
      <c r="GB186" s="2"/>
      <c r="GC186" s="2"/>
      <c r="GD186" s="2"/>
      <c r="GE186" s="2"/>
      <c r="GF186" s="20" t="s">
        <v>73</v>
      </c>
      <c r="GG186" s="2"/>
      <c r="GH186" s="2"/>
      <c r="GI186" s="2"/>
      <c r="GJ186" s="2"/>
      <c r="GK186" s="2"/>
      <c r="GL186" s="2"/>
      <c r="GM186" s="2"/>
      <c r="GN186" s="2"/>
      <c r="GO186" s="2"/>
      <c r="GP186" s="20" t="s">
        <v>73</v>
      </c>
      <c r="GQ186" s="2"/>
      <c r="GR186" s="2"/>
      <c r="GS186" s="2"/>
      <c r="GT186" s="2"/>
      <c r="GU186" s="2"/>
      <c r="GV186" s="2"/>
      <c r="GW186" s="2"/>
      <c r="GX186" s="2"/>
      <c r="GY186" s="2"/>
      <c r="GZ186" s="20" t="s">
        <v>189</v>
      </c>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0" t="s">
        <v>73</v>
      </c>
      <c r="IC186" s="2"/>
      <c r="ID186" s="2"/>
      <c r="IE186" s="2"/>
      <c r="IF186" s="2"/>
      <c r="IG186" s="2"/>
      <c r="IH186" s="2"/>
      <c r="II186" s="2"/>
      <c r="IJ186" s="20" t="s">
        <v>73</v>
      </c>
      <c r="IK186" s="2"/>
      <c r="IL186" s="2"/>
      <c r="IM186" s="2"/>
      <c r="IN186" s="2"/>
      <c r="IO186" s="2"/>
      <c r="IP186" s="2"/>
      <c r="IQ186" s="2"/>
      <c r="IR186" s="2"/>
      <c r="IS186" s="2"/>
      <c r="IT186" s="20" t="s">
        <v>73</v>
      </c>
      <c r="IU186" s="2"/>
      <c r="IV186" s="2"/>
      <c r="IW186" s="2"/>
      <c r="IX186" s="20" t="s">
        <v>73</v>
      </c>
      <c r="IY186" s="2"/>
      <c r="IZ186" s="2"/>
      <c r="JA186" s="2"/>
      <c r="JB186" s="20" t="s">
        <v>73</v>
      </c>
      <c r="JC186" s="2"/>
      <c r="JD186" s="2"/>
      <c r="JE186" s="2"/>
      <c r="JF186" s="20" t="s">
        <v>73</v>
      </c>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0" t="s">
        <v>73</v>
      </c>
      <c r="KG186" s="2"/>
      <c r="KH186" s="20" t="s">
        <v>1257</v>
      </c>
      <c r="KI186" s="2"/>
      <c r="KJ186" s="20" t="s">
        <v>1258</v>
      </c>
      <c r="KK186" s="2"/>
    </row>
    <row r="187" spans="1:297" s="12" customFormat="1" ht="60" customHeight="1" x14ac:dyDescent="0.25">
      <c r="A187" s="5" t="str">
        <f t="shared" si="49"/>
        <v>Garrett, et al, (2026), The Lancet Regional Health - Americas</v>
      </c>
      <c r="B187" s="18" t="str">
        <f t="shared" si="50"/>
        <v>Lessons from the Bundibugyo outbreak for the Americas</v>
      </c>
      <c r="C187" s="19" t="str">
        <f t="shared" si="51"/>
        <v>Commentary, Peer-reviewed publication</v>
      </c>
      <c r="D187" s="19" t="str">
        <f t="shared" si="52"/>
        <v>Bundibugyo</v>
      </c>
      <c r="E187" s="19" t="str">
        <f t="shared" si="53"/>
        <v>Yes</v>
      </c>
      <c r="F187" s="19" t="str">
        <f t="shared" si="54"/>
        <v/>
      </c>
      <c r="G187" s="19" t="str">
        <f t="shared" si="55"/>
        <v/>
      </c>
      <c r="H187" s="19" t="str">
        <f t="shared" si="56"/>
        <v/>
      </c>
      <c r="I187" s="19" t="str">
        <f t="shared" si="57"/>
        <v/>
      </c>
      <c r="J187" s="5" t="str">
        <f t="shared" si="58"/>
        <v/>
      </c>
      <c r="K187" s="5" t="str">
        <f t="shared" si="59"/>
        <v/>
      </c>
      <c r="L187" s="5"/>
      <c r="M187"/>
      <c r="N187" s="2" t="str">
        <f t="shared" si="60"/>
        <v>https://doi.org/10.1016/j.lana.2026.101563</v>
      </c>
      <c r="O187" s="20">
        <v>744</v>
      </c>
      <c r="P187" s="20" t="s">
        <v>1259</v>
      </c>
      <c r="Q187" s="20" t="s">
        <v>1260</v>
      </c>
      <c r="R187" s="20" t="s">
        <v>1261</v>
      </c>
      <c r="S187" s="20" t="s">
        <v>1262</v>
      </c>
      <c r="T187" s="20" t="s">
        <v>266</v>
      </c>
      <c r="U187" s="2"/>
      <c r="V187" s="20">
        <v>2</v>
      </c>
      <c r="W187" s="2"/>
      <c r="X187" s="20" t="s">
        <v>1263</v>
      </c>
      <c r="Y187" s="2"/>
      <c r="Z187" s="20" t="s">
        <v>21</v>
      </c>
      <c r="AA187" s="2"/>
      <c r="AB187" s="2"/>
      <c r="AC187" s="2"/>
      <c r="AD187" s="20" t="s">
        <v>352</v>
      </c>
      <c r="AE187" s="2"/>
      <c r="AF187" s="20" t="s">
        <v>270</v>
      </c>
      <c r="AG187" s="2"/>
      <c r="AH187" s="2"/>
      <c r="AI187" s="20" t="s">
        <v>271</v>
      </c>
      <c r="AJ187" s="2"/>
      <c r="AK187" s="20" t="s">
        <v>425</v>
      </c>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row>
    <row r="188" spans="1:297" ht="60" customHeight="1" x14ac:dyDescent="0.25">
      <c r="A188" s="5" t="str">
        <f t="shared" ref="A188:A192" si="61">P188</f>
        <v xml:space="preserve">Bouhentala, et al, (2026) </v>
      </c>
      <c r="B188" s="18" t="str">
        <f t="shared" ref="B188:B192" si="62">HYPERLINK(N188, Q188)</f>
        <v>Evidence for a detection ceiling in the 2026 Bundibugyo virus disease epidemic in the Democratic Republic of the Congo: an analysis of publicly reported aggregate surveillance data</v>
      </c>
      <c r="C188" s="19" t="str">
        <f t="shared" ref="C188:C192" si="63">_xlfn.TEXTJOIN(", ", TRUE, AK188,CD188:CX188,AI188, AG188)</f>
        <v>Primary - article, Modeling, Preprint</v>
      </c>
      <c r="D188" s="19" t="str">
        <f t="shared" ref="D188:D192" si="64">_xlfn.TEXTJOIN(", ", TRUE, Z188, AB188)</f>
        <v>Bundibugyo</v>
      </c>
      <c r="E188" s="19" t="str">
        <f t="shared" ref="E188:E192" si="65">AD188</f>
        <v>Yes</v>
      </c>
      <c r="F188" s="19" t="str">
        <f t="shared" ref="F188:F192" si="66">_xlfn.TEXTJOIN("", TRUE, AM188,AP188)</f>
        <v>This study aimed to evaluate trends in the outbreak data and provide some adjusted estimates based on publicly available data from May 15- July 13. Rt has been decreasing, 1.28 on July 7th falling from 2.9 in mid-May. The most plausible CFR estimate is 50.2% (outcome-delay-adjusted ratio that accounts for the proportion of cases expected to have an outcome in the interval being analysed.) rather than the crude estimate of 37.5%. These findings should be interpreted cautiously as the analysis relied solely on published confirmed-case data, parameters were derived from other ebolaviruses and delay distributions were assumed which may bias estimates.</v>
      </c>
      <c r="G188" s="19" t="str">
        <f t="shared" ref="G188:G192" si="67">_xlfn.TEXTJOIN("; ", TRUE, DX188:EU188,EX188:FQ188, FT188:GE188, GH188:GO188, GR188:HP188, HT188:HZ188, ID188:IH188, IL188:IR188, IV188, IZ188, JD188, JH188:KD188)</f>
        <v>Reproduction Number; Other Epi; Mortality</v>
      </c>
      <c r="H188" s="19" t="str">
        <f t="shared" ref="H188:H192" si="68">_xlfn.TEXTJOIN(", ", TRUE,AR188:BZ188)</f>
        <v>Human - General population</v>
      </c>
      <c r="I188" s="19" t="str">
        <f t="shared" ref="I188:I192" si="69">_xlfn.TEXTJOIN(", ", TRUE,DB188:DU188)</f>
        <v/>
      </c>
      <c r="J188" s="5" t="str">
        <f t="shared" ref="J188:J192" si="70">_xlfn.TEXTJOIN(", ", TRUE, KH188)</f>
        <v>Epidemiological Parameter - Reproduction Number (R0/Rt):
Three delay scenarios:  Assumed onset-to-report delays (mean 5, 7 and 9 days).The instantaneous reproduction number fell from 2.94 (95% CrI 2.49–3.45) on 20 May to 1.89 (1.65–2.14) on 1 June, 1.41 (1.25–1.58) on 10 June, and thereafter plateaued slightly above unity: 1.30 175 (1.16–1.44) on 30 June and 1.28 (1.15–1.41) on 7 July . This trajectory was robust across the three delay scenarios.
Epidemiological Parameter - Other:   
Growth on the reconstructed onset curve over the final fourteen reliable days corresponded to r = 0.008 per day, a doubling time of approximately 90 days. The equivalent figure computed from cumulative confirmed cases over 17 June–13 July (896 to 2,011) is 22 days — a fourfold discrepancy arising because a cumulative total doubles even when incidence is constant.
First, doubling times computed from cumulative counts are artefacts. The widely quoted 22 days differs from the correctly computed value by a factor of four, and the two point to opposite operational conclusions. This is an elementary error, but it has evidently propagated, and it should be retired from discussion of this epidemic. 
Clinical Data - Mortality: 
At the data cut-off, 74.7% of reported cases would be expected to have a known outcome.  The three estimators gave 37.5% (crude), 50.2% (outcome-delay-adjusted) and 67.3% (resolved-case).  The crude and resolved-case values bound the estimate from below and above respectively; the adjusted value is the most plausible point estimate.
Crude CFR was 34.9% (95% CI 32.7–37.1) in Ituri, which accounted for 89.9% of confirmed cases; 58.2% (50.7–65.5) in North Kivu; and 81.0% (58.1–94.6) in South Kivu, Haut-Uele and Tshopo combined.
The current outcome-delay-adjusted estimate lies within the approximately 40–61% range reported among laboratory-confirmed cases in the two previous outbreaks</v>
      </c>
      <c r="K188" s="5" t="str">
        <f t="shared" ref="K188:K192" si="71">_xlfn.TEXTJOIN(", ", TRUE, KJ188)</f>
        <v>The authors assembled 12 publicly reported surveillance anchor points of cumulative laboratory-confirmed Bundibugyo virus disease cases, deaths, and recoveries in the DRC between 15 May and 13 July 2026 from WHO, WHO AFRO, NICD, and DRC INSP reports. They reconstructed symptom-onset dates using Richardson–Lucy deconvolution with right-truncation correction under assumed onset-to-report delays (mean 5, 7, and 9 days), estimated the instantaneous reproduction number (Rt) from the reconstructed onset curve, and calculated crude, resolved-case, and outcome-delay-adjusted case fatality ratios. Provincial CFRs were estimated with exact binomial confidence intervals, and uncertainty intervals pooled results across the three delay scenarios and 300 Poisson resamples.
This analysis is constrained by what has been published, and its central argument — that the published data have stopped being informative about transmission — applies to the analysis itself. We had no access to line lists, laboratory registers, contact-tracing databases or field observation.  The delay distributions are assumed rather than estimated, and the serial interval is borrowed from a different orthoebolavirus; if the BDBV serial interval is shorter, Rt is overestimated.   The final death-to-case ratio rests on a single day. The pooled third provincial stratum rests on only 21 cases, although its component province counts were verified directly against the national situation report .  Population denominators were not applied, because reliable current denominators are unavailable amid mass displacement, so no attack rates are reported.</v>
      </c>
      <c r="N188" s="2" t="str">
        <f t="shared" ref="N188:N192" si="72">IF(ISBLANK(R188),X188,_xlfn.CONCAT($N$1,R188))</f>
        <v>https://doi.org/10.64898/2026.07.16.26358218</v>
      </c>
      <c r="O188" s="20">
        <v>751</v>
      </c>
      <c r="P188" s="20" t="s">
        <v>1407</v>
      </c>
      <c r="Q188" s="20" t="s">
        <v>1264</v>
      </c>
      <c r="R188" s="20" t="s">
        <v>1265</v>
      </c>
      <c r="S188" s="20" t="s">
        <v>1266</v>
      </c>
      <c r="T188" s="20" t="s">
        <v>266</v>
      </c>
      <c r="U188" s="2"/>
      <c r="V188" s="20" t="s">
        <v>267</v>
      </c>
      <c r="W188" s="2"/>
      <c r="X188" s="20" t="s">
        <v>1267</v>
      </c>
      <c r="Y188" s="2"/>
      <c r="Z188" s="20" t="s">
        <v>21</v>
      </c>
      <c r="AA188" s="2"/>
      <c r="AB188" s="2"/>
      <c r="AC188" s="2"/>
      <c r="AD188" s="20" t="s">
        <v>352</v>
      </c>
      <c r="AE188" s="2"/>
      <c r="AF188" s="20" t="s">
        <v>270</v>
      </c>
      <c r="AG188" s="2"/>
      <c r="AH188" s="2"/>
      <c r="AI188" s="20" t="s">
        <v>353</v>
      </c>
      <c r="AJ188" s="2"/>
      <c r="AK188" s="20" t="s">
        <v>272</v>
      </c>
      <c r="AL188" s="2"/>
      <c r="AM188" s="2"/>
      <c r="AN188" s="2"/>
      <c r="AO188" s="2"/>
      <c r="AP188" s="20" t="s">
        <v>1268</v>
      </c>
      <c r="AQ188" s="2"/>
      <c r="AR188" s="20" t="s">
        <v>37</v>
      </c>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0" t="s">
        <v>83</v>
      </c>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0" t="s">
        <v>73</v>
      </c>
      <c r="DW188" s="2"/>
      <c r="DX188" s="2"/>
      <c r="DY188" s="2"/>
      <c r="DZ188" s="2"/>
      <c r="EA188" s="2"/>
      <c r="EB188" s="2"/>
      <c r="EC188" s="2"/>
      <c r="ED188" s="2"/>
      <c r="EE188" s="2"/>
      <c r="EF188" s="20" t="s">
        <v>125</v>
      </c>
      <c r="EG188" s="2"/>
      <c r="EH188" s="2"/>
      <c r="EI188" s="2"/>
      <c r="EJ188" s="2"/>
      <c r="EK188" s="2"/>
      <c r="EL188" s="2"/>
      <c r="EM188" s="2"/>
      <c r="EN188" s="2"/>
      <c r="EO188" s="2"/>
      <c r="EP188" s="2"/>
      <c r="EQ188" s="2"/>
      <c r="ER188" s="2"/>
      <c r="ES188" s="2"/>
      <c r="ET188" s="20" t="s">
        <v>139</v>
      </c>
      <c r="EU188" s="2"/>
      <c r="EV188" s="2"/>
      <c r="EW188" s="2"/>
      <c r="EX188" s="2"/>
      <c r="EY188" s="2"/>
      <c r="EZ188" s="2"/>
      <c r="FA188" s="2"/>
      <c r="FB188" s="2"/>
      <c r="FC188" s="2"/>
      <c r="FD188" s="2"/>
      <c r="FE188" s="2"/>
      <c r="FF188" s="20" t="s">
        <v>149</v>
      </c>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0" t="s">
        <v>73</v>
      </c>
      <c r="GG188" s="2"/>
      <c r="GH188" s="2"/>
      <c r="GI188" s="2"/>
      <c r="GJ188" s="2"/>
      <c r="GK188" s="2"/>
      <c r="GL188" s="2"/>
      <c r="GM188" s="2"/>
      <c r="GN188" s="2"/>
      <c r="GO188" s="2"/>
      <c r="GP188" s="20" t="s">
        <v>73</v>
      </c>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0" t="s">
        <v>73</v>
      </c>
      <c r="HS188" s="2"/>
      <c r="HT188" s="2"/>
      <c r="HU188" s="2"/>
      <c r="HV188" s="2"/>
      <c r="HW188" s="2"/>
      <c r="HX188" s="2"/>
      <c r="HY188" s="2"/>
      <c r="HZ188" s="2"/>
      <c r="IA188" s="2"/>
      <c r="IB188" s="20" t="s">
        <v>73</v>
      </c>
      <c r="IC188" s="2"/>
      <c r="ID188" s="2"/>
      <c r="IE188" s="2"/>
      <c r="IF188" s="2"/>
      <c r="IG188" s="2"/>
      <c r="IH188" s="2"/>
      <c r="II188" s="2"/>
      <c r="IJ188" s="20" t="s">
        <v>73</v>
      </c>
      <c r="IK188" s="2"/>
      <c r="IL188" s="2"/>
      <c r="IM188" s="2"/>
      <c r="IN188" s="2"/>
      <c r="IO188" s="2"/>
      <c r="IP188" s="2"/>
      <c r="IQ188" s="2"/>
      <c r="IR188" s="2"/>
      <c r="IS188" s="2"/>
      <c r="IT188" s="20" t="s">
        <v>73</v>
      </c>
      <c r="IU188" s="2"/>
      <c r="IV188" s="2"/>
      <c r="IW188" s="2"/>
      <c r="IX188" s="20" t="s">
        <v>73</v>
      </c>
      <c r="IY188" s="2"/>
      <c r="IZ188" s="2"/>
      <c r="JA188" s="2"/>
      <c r="JB188" s="20" t="s">
        <v>73</v>
      </c>
      <c r="JC188" s="2"/>
      <c r="JD188" s="2"/>
      <c r="JE188" s="2"/>
      <c r="JF188" s="20" t="s">
        <v>73</v>
      </c>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0" t="s">
        <v>73</v>
      </c>
      <c r="KG188" s="2"/>
      <c r="KH188" s="20" t="s">
        <v>1269</v>
      </c>
      <c r="KI188" s="2"/>
      <c r="KJ188" s="20" t="s">
        <v>1270</v>
      </c>
      <c r="KK188" s="2"/>
    </row>
    <row r="189" spans="1:297" ht="60" customHeight="1" x14ac:dyDescent="0.25">
      <c r="A189" s="5" t="str">
        <f t="shared" si="61"/>
        <v>CassasusB, (2026), BMJ</v>
      </c>
      <c r="B189" s="18" t="str">
        <f t="shared" si="62"/>
        <v>Ebola: France announces first case as doctor tests positive after returning from DRC</v>
      </c>
      <c r="C189" s="19" t="str">
        <f t="shared" si="63"/>
        <v>News, Other grey literature report</v>
      </c>
      <c r="D189" s="19" t="str">
        <f t="shared" si="64"/>
        <v/>
      </c>
      <c r="E189" s="19" t="str">
        <f t="shared" si="65"/>
        <v>Yes</v>
      </c>
      <c r="F189" s="19" t="str">
        <f>_xlfn.TEXTJOIN("", TRUE, AM189,AP189)</f>
        <v/>
      </c>
      <c r="G189" s="19" t="str">
        <f t="shared" si="67"/>
        <v/>
      </c>
      <c r="H189" s="19" t="str">
        <f t="shared" si="68"/>
        <v/>
      </c>
      <c r="I189" s="19" t="str">
        <f t="shared" si="69"/>
        <v/>
      </c>
      <c r="J189" s="5" t="str">
        <f t="shared" si="70"/>
        <v/>
      </c>
      <c r="K189" s="5" t="str">
        <f t="shared" si="71"/>
        <v/>
      </c>
      <c r="N189" s="2" t="str">
        <f t="shared" si="72"/>
        <v>https://doi.org/10.1136/bmj-2026-100079</v>
      </c>
      <c r="O189" s="20">
        <v>754</v>
      </c>
      <c r="P189" s="20" t="s">
        <v>1271</v>
      </c>
      <c r="Q189" s="20" t="s">
        <v>1272</v>
      </c>
      <c r="R189" s="20" t="s">
        <v>1273</v>
      </c>
      <c r="S189" s="20" t="s">
        <v>1274</v>
      </c>
      <c r="T189" s="20" t="s">
        <v>266</v>
      </c>
      <c r="U189" s="2"/>
      <c r="V189" s="20">
        <v>2</v>
      </c>
      <c r="W189" s="2"/>
      <c r="X189" s="20" t="s">
        <v>1275</v>
      </c>
      <c r="Y189" s="2"/>
      <c r="Z189" s="2"/>
      <c r="AA189" s="2"/>
      <c r="AB189" s="2"/>
      <c r="AC189" s="2"/>
      <c r="AD189" s="20" t="s">
        <v>352</v>
      </c>
      <c r="AE189" s="2"/>
      <c r="AF189" s="20" t="s">
        <v>270</v>
      </c>
      <c r="AG189" s="2"/>
      <c r="AH189" s="2"/>
      <c r="AI189" s="20" t="s">
        <v>306</v>
      </c>
      <c r="AJ189" s="2"/>
      <c r="AK189" s="20" t="s">
        <v>307</v>
      </c>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row>
    <row r="190" spans="1:297" ht="60" customHeight="1" x14ac:dyDescent="0.25">
      <c r="A190" s="5" t="str">
        <f t="shared" si="61"/>
        <v>AndreE, et al, (2026), The Lancet</v>
      </c>
      <c r="B190" s="18" t="str">
        <f t="shared" si="62"/>
        <v>Urgent call for an Ebola truce in DR Congo</v>
      </c>
      <c r="C190" s="19" t="str">
        <f t="shared" si="63"/>
        <v>Commentary, Peer-reviewed publication</v>
      </c>
      <c r="D190" s="19" t="str">
        <f t="shared" si="64"/>
        <v>Bundibugyo</v>
      </c>
      <c r="E190" s="19" t="str">
        <f t="shared" si="65"/>
        <v>Yes</v>
      </c>
      <c r="F190" s="19" t="str">
        <f t="shared" si="66"/>
        <v/>
      </c>
      <c r="G190" s="19" t="str">
        <f t="shared" si="67"/>
        <v/>
      </c>
      <c r="H190" s="19" t="str">
        <f t="shared" si="68"/>
        <v/>
      </c>
      <c r="I190" s="19" t="str">
        <f t="shared" si="69"/>
        <v/>
      </c>
      <c r="J190" s="5" t="str">
        <f t="shared" si="70"/>
        <v/>
      </c>
      <c r="K190" s="5" t="str">
        <f t="shared" si="71"/>
        <v/>
      </c>
      <c r="N190" s="2" t="str">
        <f t="shared" si="72"/>
        <v>https://doi.org/10.1016/S0140-6736</v>
      </c>
      <c r="O190" s="20">
        <v>757</v>
      </c>
      <c r="P190" s="20" t="s">
        <v>1276</v>
      </c>
      <c r="Q190" s="20" t="s">
        <v>1277</v>
      </c>
      <c r="R190" s="20" t="s">
        <v>847</v>
      </c>
      <c r="S190" s="20" t="s">
        <v>1278</v>
      </c>
      <c r="T190" s="20" t="s">
        <v>266</v>
      </c>
      <c r="U190" s="2"/>
      <c r="V190" s="20">
        <v>2</v>
      </c>
      <c r="W190" s="2"/>
      <c r="X190" s="20" t="s">
        <v>1279</v>
      </c>
      <c r="Y190" s="2"/>
      <c r="Z190" s="20" t="s">
        <v>21</v>
      </c>
      <c r="AA190" s="2"/>
      <c r="AB190" s="2"/>
      <c r="AC190" s="2"/>
      <c r="AD190" s="20" t="s">
        <v>352</v>
      </c>
      <c r="AE190" s="2"/>
      <c r="AF190" s="20" t="s">
        <v>270</v>
      </c>
      <c r="AG190" s="2"/>
      <c r="AH190" s="2"/>
      <c r="AI190" s="20" t="s">
        <v>271</v>
      </c>
      <c r="AJ190" s="2"/>
      <c r="AK190" s="20" t="s">
        <v>425</v>
      </c>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row>
    <row r="191" spans="1:297" ht="60" customHeight="1" x14ac:dyDescent="0.25">
      <c r="A191" s="5" t="str">
        <f t="shared" si="61"/>
        <v xml:space="preserve">ECDC, (2026) </v>
      </c>
      <c r="B191" s="18" t="str">
        <f t="shared" si="62"/>
        <v>Communicable disease threats report, 13 - 17 July 2026, week 29</v>
      </c>
      <c r="C191" s="19" t="str">
        <f t="shared" si="63"/>
        <v>Other non-primary, Government report</v>
      </c>
      <c r="D191" s="19" t="str">
        <f t="shared" si="64"/>
        <v>Bundibugyo</v>
      </c>
      <c r="E191" s="19" t="str">
        <f t="shared" si="65"/>
        <v>Yes</v>
      </c>
      <c r="F191" s="19" t="str">
        <f t="shared" si="66"/>
        <v/>
      </c>
      <c r="G191" s="19" t="str">
        <f t="shared" si="67"/>
        <v/>
      </c>
      <c r="H191" s="19" t="str">
        <f t="shared" si="68"/>
        <v/>
      </c>
      <c r="I191" s="19" t="str">
        <f t="shared" si="69"/>
        <v/>
      </c>
      <c r="J191" s="5" t="str">
        <f t="shared" si="70"/>
        <v/>
      </c>
      <c r="K191" s="5" t="str">
        <f t="shared" si="71"/>
        <v/>
      </c>
      <c r="N191" s="2" t="str">
        <f t="shared" si="72"/>
        <v>https://www.ecdc.europa.eu/en/publications-data/communicable-disease-threats-report-13-17-july-2026-week-29</v>
      </c>
      <c r="O191" s="20">
        <v>768</v>
      </c>
      <c r="P191" s="20" t="s">
        <v>1364</v>
      </c>
      <c r="Q191" s="20" t="s">
        <v>1280</v>
      </c>
      <c r="R191" s="2"/>
      <c r="S191" s="20" t="s">
        <v>1281</v>
      </c>
      <c r="T191" s="20" t="s">
        <v>266</v>
      </c>
      <c r="U191" s="2"/>
      <c r="V191" s="20">
        <v>2</v>
      </c>
      <c r="W191" s="2"/>
      <c r="X191" s="20" t="s">
        <v>1281</v>
      </c>
      <c r="Y191" s="2"/>
      <c r="Z191" s="20" t="s">
        <v>21</v>
      </c>
      <c r="AA191" s="2"/>
      <c r="AB191" s="2"/>
      <c r="AC191" s="2"/>
      <c r="AD191" s="20" t="s">
        <v>352</v>
      </c>
      <c r="AE191" s="2"/>
      <c r="AF191" s="20" t="s">
        <v>270</v>
      </c>
      <c r="AG191" s="2"/>
      <c r="AH191" s="2"/>
      <c r="AI191" s="20" t="s">
        <v>437</v>
      </c>
      <c r="AJ191" s="2"/>
      <c r="AK191" s="20" t="s">
        <v>449</v>
      </c>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row>
    <row r="192" spans="1:297" ht="60" customHeight="1" x14ac:dyDescent="0.25">
      <c r="A192" s="5" t="str">
        <f t="shared" si="61"/>
        <v xml:space="preserve">Kim, et al, (2026) </v>
      </c>
      <c r="B192" s="18" t="str">
        <f t="shared" si="62"/>
        <v>Cross-border travel patterns affect magnitude estimates for the Ebola Bundibugyo epidemic</v>
      </c>
      <c r="C192" s="19" t="str">
        <f t="shared" si="63"/>
        <v>Primary - short communication, Modeling, Peer-reviewed publication</v>
      </c>
      <c r="D192" s="19" t="str">
        <f t="shared" si="64"/>
        <v>Bundibugyo</v>
      </c>
      <c r="E192" s="19" t="str">
        <f t="shared" si="65"/>
        <v>Yes</v>
      </c>
      <c r="F192" s="19" t="str">
        <f t="shared" si="66"/>
        <v>This study conducted an expanded a geographic spread approach to understand the complex  cross-border travel patterns between DRC and Uganda on number of BVDV case estimates and disease burden in the DRC (i.e., uses  imported cases to estimate true disease burden in DRC). The study underscores the importance of understanding the population seeking cross-border travel (e.g. healthcare seeking behavior context) and travel duration as it impacts the infection risk and magnitude of disease burden. These findings should be interpreted cautiously as the analysis relied solely on published confirmed-case data, estimates were derived from other ebolaviruses and delay distributions were assumed which may have led to the difference in estimates reported in this study.</v>
      </c>
      <c r="G192" s="19" t="str">
        <f t="shared" si="67"/>
        <v>Size or Duration estimate</v>
      </c>
      <c r="H192" s="19" t="str">
        <f t="shared" si="68"/>
        <v>Human - General population</v>
      </c>
      <c r="I192" s="19" t="str">
        <f t="shared" si="69"/>
        <v/>
      </c>
      <c r="J192" s="5" t="str">
        <f t="shared" si="70"/>
        <v>Epidemiological Parameter - Estimates of outbreak size or duration:    
Assuming three imported cases in Uganda:
Ituri only:  Considering all travellers, the estimated number of BVDV cases in DRC ranged from 2154 to 3024 cases for baseline trip durations (i.e majority were less than a day) for median infection-to-detection interval of 10 - 20 days while those whose travel duration was long led to a range of 347 to 683 cases across scenarios.  Considering non-day-travellers, baseline trip durations, estimated number of cases ranged from 2390 to 3511 cases. 
Ituri+Nord Kivu: 
Considering all travellers, the estimated number of BVDV cases in DRC ranged from 2831 to 3975 cases for baseline trip durations (i.e majority were less than a day) for median infection-to-detection interval of 10 - 20 days while those whose travel duration was long led to a range of 456 to 898 cases across scenarios.  Considering non-day-travellers, baseline trip durations, estimated number of cases ranged from 4142 to 4617 cases. 
 Accounting for different scenarios of trip durations and excluding healthcare-seeking travellers substantially impact the estimates for the BVD case burden in the DRC. With three imported cases, accounting for the observed pattern of trip durations from Ituri and Nord Kivu, the DRC, to Uganda substantially increased the central estimates and widened the 95% confidence intervals compared to not accounting for travel durations within our framework and to those reported recently. 
Assuming zero imported cases in Uganda, excluding imported cases who travelled for healthcare.
Across all scenarios the estimated number of cases was 0 for both Ituri only and Ituri +Nord Kivu.
With zero imported cases (that is, after excluding the three imported cases given their healthcare-seeking travel behaviour) and accounting for trip durations, the central estimates and the lower confidence limits were uninformative (zero by definition); however, the upper confidence limits provided informative likely upper bounds for the early BVD burden in the DRC, which can be used to inform epidemic responses; if the true BVD cases in the DRC were higher than these upper limits, non-zero imported cases would have been expected among individuals travelling to Uganda for general purposes, including healthcare not specifically related to Bundibugyo virus infection.</v>
      </c>
      <c r="K192" s="5" t="str">
        <f t="shared" si="71"/>
        <v>The authors adapted a geographic spread approach to estimate the burden of Bundibugyo virus disease in the Democratic Republic of the Congo using cases exported to Uganda, explicitly accounting for cross-border travel duration and healthcare-seeking travel behavior. They combined border flow monitoring data, traveller volumes, source population estimates, and assumed infection-to-detection intervals (median 10, 15, and 20 days) to estimate the probability that infected individuals would be detected in Uganda while travelling. This probability was then used to infer the number of cases in the DRC and to compare outbreak-size estimates under scenarios with and without accounting for travel duration and healthcare-seeking exported cases.
We reclassified travel duration categories into three categories and calculated the proportion of each category by normalizing the reported data to exclude unknown travel durations: (a) less than 1 day (64.7%), (b) 1 day to 1 week (25.9%) and (c) longer than 1 week (9.4%). For the alternative scenario, data were obtained from the April 2019 Uganda–DRC Border
Flow Monitoring Dashboard (Alternative scenario)8
: (a) less than 1 day (47.4%), (b) 1 day to 1 week (45.4%) and (c) longer than 1 week (7.2%).
Data on the daily number of travellers from  turi (n = 1,871) and both Ituri and Nord Kivu (n = 4,339) to Uganda were
obtained from McCabe et al.9. Using the same data allowed the direct assessment on the impact of accounting travel duration and the number of exported cases analysed. For the analyses focusing on non-day travellers, we scaled the daily number of travellers by the proportion of non-day travellers (35.3%) obtained from the March 2020 Uganda–DRC Border Flow Monitoring Dashboard March 2020: Ituri (n = 660) and
both Ituri and Nord Kivu (n = 1,531). The corresponding source population sizes were also obtained from McCabe et al.9
: Ituri (n = 4,392,200)and both Ituri and Nord Kivu (n = 13,392,200).</v>
      </c>
      <c r="N192" s="2" t="str">
        <f t="shared" si="72"/>
        <v>https://www.nature.com/articles/s44360-026-00178-y</v>
      </c>
      <c r="O192" s="20">
        <v>769</v>
      </c>
      <c r="P192" s="20" t="s">
        <v>1408</v>
      </c>
      <c r="Q192" s="20" t="s">
        <v>1282</v>
      </c>
      <c r="R192" s="2"/>
      <c r="S192" s="20" t="s">
        <v>1283</v>
      </c>
      <c r="T192" s="20" t="s">
        <v>266</v>
      </c>
      <c r="U192" s="2"/>
      <c r="V192" s="20" t="s">
        <v>267</v>
      </c>
      <c r="W192" s="2"/>
      <c r="X192" s="20" t="s">
        <v>1283</v>
      </c>
      <c r="Y192" s="2"/>
      <c r="Z192" s="20" t="s">
        <v>21</v>
      </c>
      <c r="AA192" s="2"/>
      <c r="AB192" s="2"/>
      <c r="AC192" s="2"/>
      <c r="AD192" s="20" t="s">
        <v>352</v>
      </c>
      <c r="AE192" s="2"/>
      <c r="AF192" s="20" t="s">
        <v>270</v>
      </c>
      <c r="AG192" s="2"/>
      <c r="AH192" s="2"/>
      <c r="AI192" s="20" t="s">
        <v>271</v>
      </c>
      <c r="AJ192" s="2"/>
      <c r="AK192" s="20" t="s">
        <v>490</v>
      </c>
      <c r="AL192" s="2"/>
      <c r="AM192" s="2"/>
      <c r="AN192" s="2"/>
      <c r="AO192" s="2"/>
      <c r="AP192" s="20" t="s">
        <v>1286</v>
      </c>
      <c r="AQ192" s="2"/>
      <c r="AR192" s="20" t="s">
        <v>37</v>
      </c>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0" t="s">
        <v>83</v>
      </c>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0" t="s">
        <v>73</v>
      </c>
      <c r="DW192" s="2"/>
      <c r="DX192" s="2"/>
      <c r="DY192" s="2"/>
      <c r="DZ192" s="2"/>
      <c r="EA192" s="2"/>
      <c r="EB192" s="2"/>
      <c r="EC192" s="2"/>
      <c r="ED192" s="2"/>
      <c r="EE192" s="2"/>
      <c r="EF192" s="2"/>
      <c r="EG192" s="2"/>
      <c r="EH192" s="2"/>
      <c r="EI192" s="2"/>
      <c r="EJ192" s="2"/>
      <c r="EK192" s="2"/>
      <c r="EL192" s="2"/>
      <c r="EM192" s="2"/>
      <c r="EN192" s="2"/>
      <c r="EO192" s="2"/>
      <c r="EP192" s="20" t="s">
        <v>135</v>
      </c>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0" t="s">
        <v>73</v>
      </c>
      <c r="FS192" s="2"/>
      <c r="FT192" s="2"/>
      <c r="FU192" s="2"/>
      <c r="FV192" s="2"/>
      <c r="FW192" s="2"/>
      <c r="FX192" s="2"/>
      <c r="FY192" s="2"/>
      <c r="FZ192" s="2"/>
      <c r="GA192" s="2"/>
      <c r="GB192" s="2"/>
      <c r="GC192" s="2"/>
      <c r="GD192" s="2"/>
      <c r="GE192" s="2"/>
      <c r="GF192" s="20" t="s">
        <v>73</v>
      </c>
      <c r="GG192" s="2"/>
      <c r="GH192" s="2"/>
      <c r="GI192" s="2"/>
      <c r="GJ192" s="2"/>
      <c r="GK192" s="2"/>
      <c r="GL192" s="2"/>
      <c r="GM192" s="2"/>
      <c r="GN192" s="2"/>
      <c r="GO192" s="2"/>
      <c r="GP192" s="20" t="s">
        <v>73</v>
      </c>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0" t="s">
        <v>73</v>
      </c>
      <c r="HS192" s="2"/>
      <c r="HT192" s="2"/>
      <c r="HU192" s="2"/>
      <c r="HV192" s="2"/>
      <c r="HW192" s="2"/>
      <c r="HX192" s="2"/>
      <c r="HY192" s="2"/>
      <c r="HZ192" s="2"/>
      <c r="IA192" s="2"/>
      <c r="IB192" s="20" t="s">
        <v>73</v>
      </c>
      <c r="IC192" s="2"/>
      <c r="ID192" s="2"/>
      <c r="IE192" s="2"/>
      <c r="IF192" s="2"/>
      <c r="IG192" s="2"/>
      <c r="IH192" s="2"/>
      <c r="II192" s="2"/>
      <c r="IJ192" s="20" t="s">
        <v>73</v>
      </c>
      <c r="IK192" s="2"/>
      <c r="IL192" s="2"/>
      <c r="IM192" s="2"/>
      <c r="IN192" s="2"/>
      <c r="IO192" s="2"/>
      <c r="IP192" s="2"/>
      <c r="IQ192" s="2"/>
      <c r="IR192" s="2"/>
      <c r="IS192" s="2"/>
      <c r="IT192" s="20" t="s">
        <v>73</v>
      </c>
      <c r="IU192" s="2"/>
      <c r="IV192" s="2"/>
      <c r="IW192" s="2"/>
      <c r="IX192" s="20" t="s">
        <v>73</v>
      </c>
      <c r="IY192" s="2"/>
      <c r="IZ192" s="2"/>
      <c r="JA192" s="2"/>
      <c r="JB192" s="20" t="s">
        <v>73</v>
      </c>
      <c r="JC192" s="2"/>
      <c r="JD192" s="2"/>
      <c r="JE192" s="2"/>
      <c r="JF192" s="20" t="s">
        <v>73</v>
      </c>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0" t="s">
        <v>73</v>
      </c>
      <c r="KG192" s="2"/>
      <c r="KH192" s="20" t="s">
        <v>1284</v>
      </c>
      <c r="KI192" s="2"/>
      <c r="KJ192" s="20" t="s">
        <v>1285</v>
      </c>
      <c r="KK192" s="2"/>
    </row>
    <row r="193" spans="1:297" s="12" customFormat="1" ht="60" customHeight="1" x14ac:dyDescent="0.25">
      <c r="A193" s="21" t="str">
        <f>P193</f>
        <v>Kuppalli, et al, (2026), The Lancet Infectious Diseases</v>
      </c>
      <c r="B193" s="18" t="str">
        <f>HYPERLINK(N193, Q193)</f>
        <v>Reconsidering the rVSVDELTAG-ZEBOV-GP vaccine during the 2026 Bundibugyo virus outbreak</v>
      </c>
      <c r="C193" s="19" t="str">
        <f>_xlfn.TEXTJOIN(", ", TRUE, AK193,CD193:CX193,AI193, AG193)</f>
        <v>Primary - short communication, Descriptive, Peer-reviewed publication</v>
      </c>
      <c r="D193" s="19" t="str">
        <f>_xlfn.TEXTJOIN(", ", TRUE, Z193, AB193)</f>
        <v>Bundibugyo</v>
      </c>
      <c r="E193" s="19" t="str">
        <f>AD193</f>
        <v>Yes</v>
      </c>
      <c r="F193" s="19" t="str">
        <f>_xlfn.TEXTJOIN("", TRUE, AM193,AP193)</f>
        <v>This commentary describes preliminary epidemiological observations  of potential cross-protection of rVSVΔG-ZEBOV-GP vaccine (Ervebo). The study found all nine of more than 1000 confirmed BVD cases reported up to June 24, 2026 in the DRC Ministry of Health database had previous rVSVΔG-ZEBOV-GP vaccination survived. Among the 242 deaths with available vaccination status, none occurred among vaccinated individuals. A cluster of eight healthcare workers developed probable BVDV  and all three  health-care workers with previous rVSVΔG-ZEBOV-GP vaccination survived, whereas all five unvaccinated health-care workers died. Caution as observations are limited by insufficient vaccination details, small sample size, potential confounding,  and lack of laboratory confirmation.</v>
      </c>
      <c r="G193" s="19" t="str">
        <f>_xlfn.TEXTJOIN("; ", TRUE, DX193:EU193,EX193:FQ193, FT193:GE193, GH193:GO193, GR193:HP193, HT193:HZ193, ID193:IH193, IL193:IR193, IV193, IZ193, JD193, JH193:KD193)</f>
        <v>Vaccination immunity - efficacy/effectiveness</v>
      </c>
      <c r="H193" s="19" t="str">
        <f>_xlfn.TEXTJOIN(", ", TRUE,AR193:BZ193)</f>
        <v>Human - General population, Human - Healthcare workers</v>
      </c>
      <c r="I193" s="19" t="str">
        <f>_xlfn.TEXTJOIN(", ", TRUE,DB193:DU193)</f>
        <v/>
      </c>
      <c r="J193" s="21" t="str">
        <f>_xlfn.TEXTJOIN(", ", TRUE, KH193)</f>
        <v>Vaccine immunity - Protection from infection and other disease outcomes (efficacy/effectiveness):
Based primarily on vaccination histories obtained from routine patient interviews and case investigation forms, nine of more than 1000 confirmed BVD cases reported up to June 24, 2026 in the DR Congo Ministry of Health DHIS2 Tracker database had previous rVSVΔG-ZEBOV-GP vaccination, and all survived. Among the 242 deaths with available vaccination status, none occurred among vaccinated individuals. Additionally, at Mongbwalu General Referral Hospital, a cluster of eight health-care workers developed probable BVD following exposure to a pregnant obstetric patient requiring surgical intervention who was retrospectively suspected to have had BVD in early April, 2026. All three health-care workers with previous rVSVΔG-ZEBOV-GP vaccination survived, whereas all five unvaccinated health-care workers died (Lokudu R, unpublished). Although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v>
      </c>
      <c r="K193" s="21" t="str">
        <f>_xlfn.TEXTJOIN(", ", TRUE, KJ193)</f>
        <v>This study describes preliminary epidemiological observations from the current outbreak and used data from the reported up to June 24, 2026 in the DR Congo Ministry of Health DHIS2 Tracker database and  cluster investigation of healthcare workers from the Mongbwalu General Referral Hospital.
These observations are limited by incomplete vaccination ascertainment, potential survivor and ascertainment bias, lack of laboratory confirmation, lack of verified vaccination records, and possible unmeasured confounding related to exposure intensity, previous filovirus infection, time since vaccination, and access to care, they represent hypothesis-generating signals warranting prospective investigation.
The commentary also provides a review of evidence reported on  experimental, immunological, epidemiological, and operational evidence supporting the rVSVΔG-ZEBOV-GP vaccine (Ervebo) for potential cross-protection.</v>
      </c>
      <c r="L193" s="21"/>
      <c r="M193" s="22"/>
      <c r="N193" s="23" t="str">
        <f>IF(ISBLANK(R193),X193,_xlfn.CONCAT($N$1,R193))</f>
        <v>https://doi.org/10.1016/S1473-3099(26)00382-8</v>
      </c>
      <c r="O193" s="20">
        <v>779</v>
      </c>
      <c r="P193" s="20" t="s">
        <v>1287</v>
      </c>
      <c r="Q193" s="20" t="s">
        <v>1288</v>
      </c>
      <c r="R193" s="20" t="s">
        <v>1289</v>
      </c>
      <c r="S193" s="20" t="s">
        <v>1290</v>
      </c>
      <c r="T193" s="20" t="s">
        <v>401</v>
      </c>
      <c r="U193" s="2"/>
      <c r="V193" s="20" t="s">
        <v>288</v>
      </c>
      <c r="W193" s="2"/>
      <c r="X193" s="20" t="s">
        <v>1291</v>
      </c>
      <c r="Y193" s="2"/>
      <c r="Z193" s="20" t="s">
        <v>21</v>
      </c>
      <c r="AA193" s="2"/>
      <c r="AB193" s="2"/>
      <c r="AC193" s="2"/>
      <c r="AD193" s="20" t="s">
        <v>352</v>
      </c>
      <c r="AE193" s="2"/>
      <c r="AF193" s="20" t="s">
        <v>270</v>
      </c>
      <c r="AG193" s="2"/>
      <c r="AH193" s="2"/>
      <c r="AI193" s="20" t="s">
        <v>271</v>
      </c>
      <c r="AJ193" s="2"/>
      <c r="AK193" s="20" t="s">
        <v>490</v>
      </c>
      <c r="AL193" s="2"/>
      <c r="AM193" s="2"/>
      <c r="AN193" s="2"/>
      <c r="AO193" s="2"/>
      <c r="AP193" s="20" t="s">
        <v>1309</v>
      </c>
      <c r="AQ193" s="2"/>
      <c r="AR193" s="20" t="s">
        <v>37</v>
      </c>
      <c r="AS193" s="2"/>
      <c r="AT193" s="2"/>
      <c r="AU193" s="2"/>
      <c r="AV193" s="2"/>
      <c r="AW193" s="2"/>
      <c r="AX193" s="2"/>
      <c r="AY193" s="2"/>
      <c r="AZ193" s="2"/>
      <c r="BA193" s="2"/>
      <c r="BB193" s="2"/>
      <c r="BC193" s="2"/>
      <c r="BD193" s="2"/>
      <c r="BE193" s="2"/>
      <c r="BF193" s="2"/>
      <c r="BG193" s="2"/>
      <c r="BH193" s="20" t="s">
        <v>53</v>
      </c>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0" t="s">
        <v>77</v>
      </c>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0" t="s">
        <v>73</v>
      </c>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0" t="s">
        <v>73</v>
      </c>
      <c r="EW193" s="2"/>
      <c r="EX193" s="2"/>
      <c r="EY193" s="2"/>
      <c r="EZ193" s="2"/>
      <c r="FA193" s="2"/>
      <c r="FB193" s="2"/>
      <c r="FC193" s="2"/>
      <c r="FD193" s="2"/>
      <c r="FE193" s="2"/>
      <c r="FF193" s="2"/>
      <c r="FG193" s="2"/>
      <c r="FH193" s="2"/>
      <c r="FI193" s="2"/>
      <c r="FJ193" s="2"/>
      <c r="FK193" s="2"/>
      <c r="FL193" s="2"/>
      <c r="FM193" s="2"/>
      <c r="FN193" s="2"/>
      <c r="FO193" s="2"/>
      <c r="FP193" s="2"/>
      <c r="FQ193" s="2"/>
      <c r="FR193" s="20" t="s">
        <v>73</v>
      </c>
      <c r="FS193" s="2"/>
      <c r="FT193" s="2"/>
      <c r="FU193" s="2"/>
      <c r="FV193" s="20" t="s">
        <v>163</v>
      </c>
      <c r="FW193" s="2"/>
      <c r="FX193" s="2"/>
      <c r="FY193" s="2"/>
      <c r="FZ193" s="2"/>
      <c r="GA193" s="2"/>
      <c r="GB193" s="2"/>
      <c r="GC193" s="2"/>
      <c r="GD193" s="2"/>
      <c r="GE193" s="2"/>
      <c r="GF193" s="2"/>
      <c r="GG193" s="2"/>
      <c r="GH193" s="2"/>
      <c r="GI193" s="2"/>
      <c r="GJ193" s="2"/>
      <c r="GK193" s="2"/>
      <c r="GL193" s="2"/>
      <c r="GM193" s="2"/>
      <c r="GN193" s="2"/>
      <c r="GO193" s="2"/>
      <c r="GP193" s="20" t="s">
        <v>73</v>
      </c>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0" t="s">
        <v>73</v>
      </c>
      <c r="HS193" s="2"/>
      <c r="HT193" s="2"/>
      <c r="HU193" s="2"/>
      <c r="HV193" s="2"/>
      <c r="HW193" s="2"/>
      <c r="HX193" s="2"/>
      <c r="HY193" s="2"/>
      <c r="HZ193" s="2"/>
      <c r="IA193" s="2"/>
      <c r="IB193" s="20" t="s">
        <v>73</v>
      </c>
      <c r="IC193" s="2"/>
      <c r="ID193" s="2"/>
      <c r="IE193" s="2"/>
      <c r="IF193" s="2"/>
      <c r="IG193" s="2"/>
      <c r="IH193" s="2"/>
      <c r="II193" s="2"/>
      <c r="IJ193" s="20" t="s">
        <v>73</v>
      </c>
      <c r="IK193" s="2"/>
      <c r="IL193" s="2"/>
      <c r="IM193" s="2"/>
      <c r="IN193" s="2"/>
      <c r="IO193" s="2"/>
      <c r="IP193" s="2"/>
      <c r="IQ193" s="2"/>
      <c r="IR193" s="2"/>
      <c r="IS193" s="2"/>
      <c r="IT193" s="20" t="s">
        <v>73</v>
      </c>
      <c r="IU193" s="2"/>
      <c r="IV193" s="2"/>
      <c r="IW193" s="2"/>
      <c r="IX193" s="20" t="s">
        <v>73</v>
      </c>
      <c r="IY193" s="2"/>
      <c r="IZ193" s="2"/>
      <c r="JA193" s="2"/>
      <c r="JB193" s="20" t="s">
        <v>73</v>
      </c>
      <c r="JC193" s="2"/>
      <c r="JD193" s="2"/>
      <c r="JE193" s="2"/>
      <c r="JF193" s="20" t="s">
        <v>73</v>
      </c>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0" t="s">
        <v>73</v>
      </c>
      <c r="KG193" s="2"/>
      <c r="KH193" s="20" t="s">
        <v>1292</v>
      </c>
      <c r="KI193" s="2"/>
      <c r="KJ193" s="20" t="s">
        <v>1293</v>
      </c>
      <c r="KK193" s="2"/>
    </row>
    <row r="194" spans="1:297" s="12" customFormat="1" ht="60" customHeight="1" x14ac:dyDescent="0.25">
      <c r="A194" s="21" t="str">
        <f t="shared" ref="A194:A195" si="73">P194</f>
        <v xml:space="preserve">Bouhentala, et al, (2026) </v>
      </c>
      <c r="B194" s="18" t="str">
        <f t="shared" ref="B194:B195" si="74">HYPERLINK(N194, Q194)</f>
        <v>Epidemiological Analysis of the 2026 Bundibugyo Virus Disease Outbreak and Rapid Risk Assessment for North Africa and Europe</v>
      </c>
      <c r="C194" s="19" t="str">
        <f t="shared" ref="C194:C195" si="75">_xlfn.TEXTJOIN(", ", TRUE, AK194,CD194:CX194,AI194, AG194)</f>
        <v>Risk Assessment, Modeling, Preprint</v>
      </c>
      <c r="D194" s="19" t="str">
        <f t="shared" ref="D194:D195" si="76">_xlfn.TEXTJOIN(", ", TRUE, Z194, AB194)</f>
        <v>Bundibugyo</v>
      </c>
      <c r="E194" s="19" t="str">
        <f t="shared" ref="E194:E195" si="77">AD194</f>
        <v>Yes</v>
      </c>
      <c r="F194" s="19" t="str">
        <f t="shared" ref="F194:F195" si="78">_xlfn.TEXTJOIN("", TRUE, AM194,AP194)</f>
        <v>The most plausible introduction pathways for North Africa were commercial aviation, returning humanitarian or occupational personnel, multi-leg travel through African, European, Gulf, or Turkish hubs, and controlled medical evacuation. Morocco had advertised direct Kinshasa–Casablanca service, Egypt had substantial hub connectivity with East and Central Africa, and Sudan had a distinct multi-stage overland vulnerability through South Sudan because of conflict-driven mobility and disrupted surveillance, although Ebola’s clinical severity limits prolonged travel after symptom onset.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denominator.This study analysed the publicly reported trajectory and assessed the risk of introduction and onward transmission in North Africa and Europe by synthesizing public surveillance data from July 15-17. Case notifications in the DRC increased to an average of 47.4 cases per day during 1–15 July, compared with 35.9 cases per day during 2–29 June (rate ratio 1.32; 95% interval 1.20–1.46); More than 80% of newly reported cases were identified outside known contact lists, indicating ongoing gaps in case detection and contact tracing; Introduction likelihood was assessed as very low to low for North Africa and very low for the general European population; delayed recognition in routine healthcare was the principal scenario for limited secondary transmission.</v>
      </c>
      <c r="G194" s="19" t="str">
        <f t="shared" ref="G194:G195" si="79">_xlfn.TEXTJOIN("; ", TRUE, DX194:EU194,EX194:FQ194, FT194:GE194, GH194:GO194, GR194:HP194, HT194:HZ194, ID194:IH194, IL194:IR194, IV194, IZ194, JD194, JH194:KD194)</f>
        <v>Other Epi; Mortality</v>
      </c>
      <c r="H194" s="19" t="str">
        <f t="shared" ref="H194:H195" si="80">_xlfn.TEXTJOIN(", ", TRUE,AR194:BZ194)</f>
        <v>Human - General population</v>
      </c>
      <c r="I194" s="19" t="str">
        <f t="shared" ref="I194:I195" si="81">_xlfn.TEXTJOIN(", ", TRUE,DB194:DU194)</f>
        <v/>
      </c>
      <c r="J194" s="21" t="str">
        <f t="shared" ref="J194:J195" si="82">_xlfn.TEXTJOIN(", ", TRUE, KH194)</f>
        <v>Clinical Data - Mortality: The crude confirmed-case CFR increased from 13.6% on 27 May to 39.0% on 15 July. This rise is compatible with maturation of outcomes among previously active cases, retrospective confirmation of deaths, delayed presentation, preferential detection of severe disease, delayed recovery reporting, and changes in testing or death investigation. It should not be interpreted as a time-resolved measure of clinical virulence. Uganda’s confirmed-case CFR was 10% (2/20), compared with 39.0% in the DRC confirmed series. The difference is operationally important but cannot establish a causal treatment effect because Uganda’s denominator was small, cases may have differed in timing and severity, and the probable death was excluded from the confirmed denominator. 
Epidemiological Parameter - Other: Notification rates declined gradually across the four June intervals, from 39.7 to 34.1 cases per day, and then increased in July. Excluding the 29 June–1 July interval, the aggregate rate was 35.9 per day during 2–29 June (970 notifications over 27 days; exact counting interval 33.7–38.3) and 47.4 per day during 1–15 July (664 over 14 days; 43.9–51.2). The July-to-June notification-rate ratio was 1.32 (counting model 95% interval 1.20–1.46). This increase cannot be interpreted as a direct measure of biological acceleration.</v>
      </c>
      <c r="K194" s="21" t="str">
        <f t="shared" ref="K194:K195" si="83">_xlfn.TEXTJOIN(", ", TRUE, KJ194)</f>
        <v>This study is a rapid public-health analysis of publicly available aggregate surveillance data and official risk assessments examining the 2026 BDBV outbreak in the DRC and the potential risk of spread to North Africa. The analysis used laboratory-confirmed cases and deaths, calculated interval-specific notification rates from cumulative confirmed case counts, and applied a risk-assessment framework that considered introduction likelihood, conditional onward-transmission likelihood, impact if detection was delayed, and confidence in the judgement.</v>
      </c>
      <c r="L194" s="21"/>
      <c r="M194" s="22"/>
      <c r="N194" s="23" t="str">
        <f t="shared" ref="N194:N195" si="84">IF(ISBLANK(R194),X194,_xlfn.CONCAT($N$1,R194))</f>
        <v>https://doi.org/10.64898/2026.07.19.26358411</v>
      </c>
      <c r="O194" s="20">
        <v>781</v>
      </c>
      <c r="P194" s="20" t="s">
        <v>1407</v>
      </c>
      <c r="Q194" s="20" t="s">
        <v>1294</v>
      </c>
      <c r="R194" s="20" t="s">
        <v>1295</v>
      </c>
      <c r="S194" s="20" t="s">
        <v>1296</v>
      </c>
      <c r="T194" s="20" t="s">
        <v>266</v>
      </c>
      <c r="U194" s="2"/>
      <c r="V194" s="20" t="s">
        <v>267</v>
      </c>
      <c r="W194" s="2"/>
      <c r="X194" s="20" t="s">
        <v>1291</v>
      </c>
      <c r="Y194" s="2"/>
      <c r="Z194" s="20" t="s">
        <v>21</v>
      </c>
      <c r="AA194" s="2"/>
      <c r="AB194" s="2"/>
      <c r="AC194" s="2"/>
      <c r="AD194" s="20" t="s">
        <v>352</v>
      </c>
      <c r="AE194" s="2"/>
      <c r="AF194" s="20" t="s">
        <v>270</v>
      </c>
      <c r="AG194" s="2"/>
      <c r="AH194" s="2"/>
      <c r="AI194" s="20" t="s">
        <v>353</v>
      </c>
      <c r="AJ194" s="2"/>
      <c r="AK194" s="20" t="s">
        <v>85</v>
      </c>
      <c r="AL194" s="2"/>
      <c r="AM194" s="20" t="s">
        <v>1297</v>
      </c>
      <c r="AN194" s="2"/>
      <c r="AO194" s="2"/>
      <c r="AP194" s="20" t="s">
        <v>1298</v>
      </c>
      <c r="AQ194" s="2"/>
      <c r="AR194" s="20" t="s">
        <v>37</v>
      </c>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0" t="s">
        <v>83</v>
      </c>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0" t="s">
        <v>73</v>
      </c>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0" t="s">
        <v>139</v>
      </c>
      <c r="EU194" s="2"/>
      <c r="EV194" s="2"/>
      <c r="EW194" s="2"/>
      <c r="EX194" s="2"/>
      <c r="EY194" s="2"/>
      <c r="EZ194" s="2"/>
      <c r="FA194" s="2"/>
      <c r="FB194" s="2"/>
      <c r="FC194" s="2"/>
      <c r="FD194" s="2"/>
      <c r="FE194" s="2"/>
      <c r="FF194" s="20" t="s">
        <v>149</v>
      </c>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0" t="s">
        <v>73</v>
      </c>
      <c r="GG194" s="2"/>
      <c r="GH194" s="2"/>
      <c r="GI194" s="2"/>
      <c r="GJ194" s="2"/>
      <c r="GK194" s="2"/>
      <c r="GL194" s="2"/>
      <c r="GM194" s="2"/>
      <c r="GN194" s="2"/>
      <c r="GO194" s="2"/>
      <c r="GP194" s="20" t="s">
        <v>73</v>
      </c>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0" t="s">
        <v>73</v>
      </c>
      <c r="HS194" s="2"/>
      <c r="HT194" s="2"/>
      <c r="HU194" s="2"/>
      <c r="HV194" s="2"/>
      <c r="HW194" s="2"/>
      <c r="HX194" s="2"/>
      <c r="HY194" s="2"/>
      <c r="HZ194" s="2"/>
      <c r="IA194" s="2"/>
      <c r="IB194" s="20" t="s">
        <v>73</v>
      </c>
      <c r="IC194" s="2"/>
      <c r="ID194" s="2"/>
      <c r="IE194" s="2"/>
      <c r="IF194" s="2"/>
      <c r="IG194" s="2"/>
      <c r="IH194" s="2"/>
      <c r="II194" s="2"/>
      <c r="IJ194" s="20" t="s">
        <v>73</v>
      </c>
      <c r="IK194" s="2"/>
      <c r="IL194" s="2"/>
      <c r="IM194" s="2"/>
      <c r="IN194" s="2"/>
      <c r="IO194" s="2"/>
      <c r="IP194" s="2"/>
      <c r="IQ194" s="2"/>
      <c r="IR194" s="2"/>
      <c r="IS194" s="2"/>
      <c r="IT194" s="20" t="s">
        <v>73</v>
      </c>
      <c r="IU194" s="2"/>
      <c r="IV194" s="2"/>
      <c r="IW194" s="2"/>
      <c r="IX194" s="20" t="s">
        <v>73</v>
      </c>
      <c r="IY194" s="2"/>
      <c r="IZ194" s="2"/>
      <c r="JA194" s="2"/>
      <c r="JB194" s="20" t="s">
        <v>73</v>
      </c>
      <c r="JC194" s="2"/>
      <c r="JD194" s="2"/>
      <c r="JE194" s="2"/>
      <c r="JF194" s="20" t="s">
        <v>73</v>
      </c>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0" t="s">
        <v>73</v>
      </c>
      <c r="KG194" s="2"/>
      <c r="KH194" s="20" t="s">
        <v>1299</v>
      </c>
      <c r="KI194" s="2"/>
      <c r="KJ194" s="20" t="s">
        <v>1300</v>
      </c>
      <c r="KK194" s="2"/>
    </row>
    <row r="195" spans="1:297" s="12" customFormat="1" ht="60" customHeight="1" x14ac:dyDescent="0.25">
      <c r="A195" s="21" t="str">
        <f t="shared" si="73"/>
        <v>Lhomme, et al, (2026), The New England journal of medicine</v>
      </c>
      <c r="B195" s="18" t="str">
        <f t="shared" si="74"/>
        <v>Cross-Reactive Bundibugyo Antibody Responses after Receipt of Licensed Ebola Vaccines</v>
      </c>
      <c r="C195" s="19" t="str">
        <f t="shared" si="75"/>
        <v>Primary - short communication, Experimental, Peer-reviewed publication</v>
      </c>
      <c r="D195" s="19" t="str">
        <f t="shared" si="76"/>
        <v>Bundibugyo</v>
      </c>
      <c r="E195" s="19" t="str">
        <f t="shared" si="77"/>
        <v>Yes</v>
      </c>
      <c r="F195" s="19" t="str">
        <f t="shared" si="78"/>
        <v>In this study, cross-reactive antibody responses against multiple filoviruses were analyzed in samples after vaccination with rVSVΔG-ZEBOV-GP (Ervebo; single-dose [rVSV] or prime booster [rVSV booster]) or Ad26.ZEBOV/MVA-BN-Filo (Zabdeno and Mvabea [Ad26.MVA]). Cross-reactive antibody responses against BDBV were detected across all vaccine formulations at 28 days and 3 months  with similar patterns observed in adults and children. BDBV responses remained consistently lower than homologous EBOV responses but were detectable after vaccination, providing in vitro evidence that these Ebola vaccines induce cross-reactive antibody responses against BDBV.</v>
      </c>
      <c r="G195" s="19" t="str">
        <f t="shared" si="79"/>
        <v>Vaccine immunity measures (Ab, titre, cytokines)</v>
      </c>
      <c r="H195" s="19" t="str">
        <f t="shared" si="80"/>
        <v>Human - General population</v>
      </c>
      <c r="I195" s="19" t="str">
        <f t="shared" si="81"/>
        <v/>
      </c>
      <c r="J195" s="21" t="str">
        <f t="shared" si="82"/>
        <v>This is the published version of an earlier preprint.
Vaccine immunity - Measures of protective immunity (antibodies/titres/cytokines): 
Among the samples, 55 were collected at 28 days and 124 were collected at 3 months, with no matching of samples between the two time points.  Similar patterns were observed in adults and children. Cross-reactive antibody responses against BDBV were detected across all vaccine formulations and at both time points. Similar patterns were observed in adults and children. As expected, BDBV responses remained consistently lower than homologous EBOV responses but were detectable after vaccination. 
In the recipients of the recombinant vesicular stomatitis virus Ebola vaccine (rVSV-EBOV), the response against BDBV (as measured by the median fluorescence intensity [MFI]) was 282 (interquartile range, 164 to 644) at 28 days and 130 (interquartile range, 106 to 436) at 3 months, as compared with 1788 (interquartile range, 832 to 3311) and 1069 (interquartile range, 747 to 1876), respectively, against Kikwit Ebola. Similar findings were observed in the rVSV booster group. After administration of the heterologous Ad26.MVA vaccine, the BDBV response was higher at 3 months (median, 433; interquartile range, 236 to 994) than at 28 days (median, 83; interquartile range, 44 to 131) but remained markedly lower than the corresponding EBOV Kikwit responses.
These findings provide in vitro evidence that these Ebola vaccines induce cross-reactive antibody responses against BDBV.</v>
      </c>
      <c r="K195" s="21" t="str">
        <f t="shared" si="83"/>
        <v>We evaluated cross-reactive antibody responses against multiple filoviruses using serum samples obtained from West African adults and children who had been enrolled in the PREVAC randomized clinical trial.5 We analyzed samples obtained at 28 days and at 3 months after vaccination with rVSVΔG-ZEBOV-GP (Ervebo; single-dose [rVSV] or prime booster [rVSV booster]) or Ad26.ZEBOV/MVA-BN-Filo (Zabdeno and Mvabea [Ad26.MVA]) using a multiplex Luminex assay. Details regarding this analysis are provided in the Methods section in the Supplementary Appendix, available with the full text of this letter at NEJM.org.
We analyzed 179 serum samples obtained from adults and children across vaccine groups at 28 days and 3 months after vaccination. Samples were selected on the basis of availability at the biobank of Institut de Recherche pour le Développement. Overall, the samples reflected the diversity in ages of the patients who were enrolled at multiple centers in the PREVAC trial, which enabled exploratory comparisons across vaccine platforms, age strata, and time points. Among the samples, 55 were collected at 28 days and 124 were collected at 3 months, with no matching of samples between the two time points. (See the Methods section and Table S1 in the Supplementary Appendix.)</v>
      </c>
      <c r="L195" s="21"/>
      <c r="M195" s="22"/>
      <c r="N195" s="23" t="str">
        <f t="shared" si="84"/>
        <v>https://doi.org/10.1056/nejmc2608018</v>
      </c>
      <c r="O195" s="20">
        <v>784</v>
      </c>
      <c r="P195" s="20" t="s">
        <v>1301</v>
      </c>
      <c r="Q195" s="20" t="s">
        <v>1302</v>
      </c>
      <c r="R195" s="20" t="s">
        <v>1303</v>
      </c>
      <c r="S195" s="20" t="s">
        <v>1304</v>
      </c>
      <c r="T195" s="20" t="s">
        <v>266</v>
      </c>
      <c r="U195" s="2"/>
      <c r="V195" s="20" t="s">
        <v>267</v>
      </c>
      <c r="W195" s="2"/>
      <c r="X195" s="20" t="s">
        <v>1305</v>
      </c>
      <c r="Y195" s="2"/>
      <c r="Z195" s="20" t="s">
        <v>21</v>
      </c>
      <c r="AA195" s="2"/>
      <c r="AB195" s="2"/>
      <c r="AC195" s="2"/>
      <c r="AD195" s="20" t="s">
        <v>352</v>
      </c>
      <c r="AE195" s="2"/>
      <c r="AF195" s="20" t="s">
        <v>270</v>
      </c>
      <c r="AG195" s="2"/>
      <c r="AH195" s="2"/>
      <c r="AI195" s="20" t="s">
        <v>271</v>
      </c>
      <c r="AJ195" s="2"/>
      <c r="AK195" s="20" t="s">
        <v>490</v>
      </c>
      <c r="AL195" s="2"/>
      <c r="AM195" s="2"/>
      <c r="AN195" s="2"/>
      <c r="AO195" s="2"/>
      <c r="AP195" s="20" t="s">
        <v>1306</v>
      </c>
      <c r="AQ195" s="2"/>
      <c r="AR195" s="20" t="s">
        <v>37</v>
      </c>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0" t="s">
        <v>79</v>
      </c>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0" t="s">
        <v>73</v>
      </c>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0" t="s">
        <v>73</v>
      </c>
      <c r="EW195" s="2"/>
      <c r="EX195" s="2"/>
      <c r="EY195" s="2"/>
      <c r="EZ195" s="2"/>
      <c r="FA195" s="2"/>
      <c r="FB195" s="2"/>
      <c r="FC195" s="2"/>
      <c r="FD195" s="2"/>
      <c r="FE195" s="2"/>
      <c r="FF195" s="2"/>
      <c r="FG195" s="2"/>
      <c r="FH195" s="2"/>
      <c r="FI195" s="2"/>
      <c r="FJ195" s="2"/>
      <c r="FK195" s="2"/>
      <c r="FL195" s="2"/>
      <c r="FM195" s="2"/>
      <c r="FN195" s="2"/>
      <c r="FO195" s="2"/>
      <c r="FP195" s="2"/>
      <c r="FQ195" s="2"/>
      <c r="FR195" s="20" t="s">
        <v>73</v>
      </c>
      <c r="FS195" s="2"/>
      <c r="FT195" s="2"/>
      <c r="FU195" s="2"/>
      <c r="FV195" s="2"/>
      <c r="FW195" s="2"/>
      <c r="FX195" s="2"/>
      <c r="FY195" s="2"/>
      <c r="FZ195" s="2"/>
      <c r="GA195" s="2"/>
      <c r="GB195" s="20" t="s">
        <v>169</v>
      </c>
      <c r="GC195" s="2"/>
      <c r="GD195" s="2"/>
      <c r="GE195" s="2"/>
      <c r="GF195" s="2"/>
      <c r="GG195" s="2"/>
      <c r="GH195" s="2"/>
      <c r="GI195" s="2"/>
      <c r="GJ195" s="2"/>
      <c r="GK195" s="2"/>
      <c r="GL195" s="2"/>
      <c r="GM195" s="2"/>
      <c r="GN195" s="2"/>
      <c r="GO195" s="2"/>
      <c r="GP195" s="20" t="s">
        <v>73</v>
      </c>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0" t="s">
        <v>73</v>
      </c>
      <c r="HS195" s="2"/>
      <c r="HT195" s="2"/>
      <c r="HU195" s="2"/>
      <c r="HV195" s="2"/>
      <c r="HW195" s="2"/>
      <c r="HX195" s="2"/>
      <c r="HY195" s="2"/>
      <c r="HZ195" s="2"/>
      <c r="IA195" s="2"/>
      <c r="IB195" s="20" t="s">
        <v>73</v>
      </c>
      <c r="IC195" s="2"/>
      <c r="ID195" s="2"/>
      <c r="IE195" s="2"/>
      <c r="IF195" s="2"/>
      <c r="IG195" s="2"/>
      <c r="IH195" s="2"/>
      <c r="II195" s="2"/>
      <c r="IJ195" s="20" t="s">
        <v>73</v>
      </c>
      <c r="IK195" s="2"/>
      <c r="IL195" s="2"/>
      <c r="IM195" s="2"/>
      <c r="IN195" s="2"/>
      <c r="IO195" s="2"/>
      <c r="IP195" s="2"/>
      <c r="IQ195" s="2"/>
      <c r="IR195" s="2"/>
      <c r="IS195" s="2"/>
      <c r="IT195" s="20" t="s">
        <v>73</v>
      </c>
      <c r="IU195" s="2"/>
      <c r="IV195" s="2"/>
      <c r="IW195" s="2"/>
      <c r="IX195" s="20" t="s">
        <v>73</v>
      </c>
      <c r="IY195" s="2"/>
      <c r="IZ195" s="2"/>
      <c r="JA195" s="2"/>
      <c r="JB195" s="20" t="s">
        <v>73</v>
      </c>
      <c r="JC195" s="2"/>
      <c r="JD195" s="2"/>
      <c r="JE195" s="2"/>
      <c r="JF195" s="20" t="s">
        <v>73</v>
      </c>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0" t="s">
        <v>73</v>
      </c>
      <c r="KG195" s="2"/>
      <c r="KH195" s="20" t="s">
        <v>1307</v>
      </c>
      <c r="KI195" s="2"/>
      <c r="KJ195" s="20" t="s">
        <v>1308</v>
      </c>
      <c r="KK195" s="2"/>
    </row>
    <row r="196" spans="1:297" s="12" customFormat="1" ht="60" customHeight="1" x14ac:dyDescent="0.25">
      <c r="A196" s="9" t="str">
        <f t="shared" ref="A196:A204" si="85">P196</f>
        <v>Jain, et al, (2026), Emerging Microbes &amp; Infections</v>
      </c>
      <c r="B196" s="10" t="str">
        <f t="shared" ref="B196:B204" si="86">HYPERLINK(N196, Q196)</f>
        <v>Development and Characterization of a Recombinant Bundibugyo Virus Expressing a Fluorescent Reporter Protein</v>
      </c>
      <c r="C196" s="11" t="str">
        <f t="shared" ref="C196:C204" si="87">_xlfn.TEXTJOIN(", ", TRUE, AK196,CD196:CX196,AI196, AG196)</f>
        <v>Primary - article, Experimental, Peer-reviewed publication</v>
      </c>
      <c r="D196" s="11" t="str">
        <f t="shared" ref="D196:D204" si="88">_xlfn.TEXTJOIN(", ", TRUE, Z196, AB196)</f>
        <v>Bundibugyo</v>
      </c>
      <c r="E196" s="11" t="str">
        <f t="shared" ref="E196:E204" si="89">AD196</f>
        <v>Yes</v>
      </c>
      <c r="F196" s="11" t="str">
        <f t="shared" ref="F196:F204" si="90">_xlfn.TEXTJOIN("", TRUE, AM196,AP196)</f>
        <v>Researchers developed the first fluorescent recombinant Bundibugyo virus (rBDBV-ZsG); a useful tool for studying BDBV replication and pathogenesis. They tested a set of previously characterized antiviral compounds and demonstrated comparable inhibitory profiles between rBDBV-ZsG and the wild-type BDBV parental strain. The tool also accurately measured antibody neutralization using monoclonal antibodies and convalescent serum samples.</v>
      </c>
      <c r="G196" s="11" t="str">
        <f t="shared" ref="G196:G204" si="91">_xlfn.TEXTJOIN("; ", TRUE, DX196:EU196,EX196:FQ196, FT196:GE196, GH196:GO196, GR196:HP196, HT196:HZ196, ID196:IH196, IL196:IR196, IV196, IZ196, JD196, JH196:KD196)</f>
        <v>pathogen  Protein-inhibitor/binding interactions</v>
      </c>
      <c r="H196" s="11" t="str">
        <f t="shared" ref="H196:H204" si="92">_xlfn.TEXTJOIN(", ", TRUE,AR196:BZ196)</f>
        <v/>
      </c>
      <c r="I196" s="11" t="str">
        <f t="shared" ref="I196:I204" si="93">_xlfn.TEXTJOIN(", ", TRUE,DB196:DU196)</f>
        <v/>
      </c>
      <c r="J196" s="9" t="str">
        <f t="shared" ref="J196:J204" si="94">_xlfn.TEXTJOIN(", ", TRUE, KH196)</f>
        <v>Pathogen studies - Protein-inhibitor/binding interactions: Describe the development of a recombinant BDBV reporter virus expressing ZsG (rBDBV-ZsG); a useful tool for studying BDBV replication and pathogenesis. rBDBV-ZsG responded to antiviral drugs in essentially the same way as the wild-type Bundibugyo virus. Furthermore, the authors show that viral polymerase inhibitors previously reported to be effective against ZEBOV were also active against BDBV. Confirmed the potent antiviral activity of remdesivir against BDBV, with an EC₅₀ of approximately 10 nM as previously reported. rBDBV-ZsG accurately measured whether monoclonal antibodies and blood samples from recovered patients could neutralize the virus. Archived serum samples from 2007 BDBV outbreak neutralized BDBV-ZsG efficiently, suggesting that these individuals have BDBV-specific neutralizing antibody activity.</v>
      </c>
      <c r="K196" s="9" t="str">
        <f t="shared" ref="K196:K204" si="95">_xlfn.TEXTJOIN(", ", TRUE, KJ196)</f>
        <v>Researchers generated a recombinant Bundibugyo virus (rBDBV-ZsG) carrying a fluorescent ZsGreen reporter, rescued it in Huh7 cells, and confirmed its genetic integrity by next-generation sequencing. They characterized the virus using immunofluorescence assays, growth kinetics, and virus titration, and then evaluated its utility for antiviral screening and antibody neutralization studies under BSL-4 containment.
Antiviral activity was assessed by infecting cultured cells with either the reporter virus or wild-type BDBV and measuring inhibition, cytotoxicity, and screening performance metrics such as EC₅₀, CC₅₀, selectivity index, and Z′ score. Neutralization assays were performed using a pan-ebolavirus monoclonal antibody and archived human sera from the 2007 Uganda BDBV outbreak, with neutralizing activity quantified by reductions in ZsGreen fluorescence and calculation of IC₅₀ values.</v>
      </c>
      <c r="L196" s="9"/>
      <c r="N196" s="8" t="str">
        <f t="shared" ref="N196:N204" si="96">IF(ISBLANK(R196),X196,_xlfn.CONCAT($N$1,R196))</f>
        <v>https://doi.org/10.1080/22221751.2026.2709847</v>
      </c>
      <c r="O196" s="24">
        <v>812</v>
      </c>
      <c r="P196" s="24" t="s">
        <v>1310</v>
      </c>
      <c r="Q196" s="24" t="s">
        <v>1311</v>
      </c>
      <c r="R196" s="24" t="s">
        <v>1312</v>
      </c>
      <c r="S196" s="24" t="s">
        <v>1313</v>
      </c>
      <c r="T196" s="24" t="s">
        <v>266</v>
      </c>
      <c r="U196" s="8"/>
      <c r="V196" s="24" t="s">
        <v>267</v>
      </c>
      <c r="W196" s="8"/>
      <c r="X196" s="24" t="s">
        <v>1314</v>
      </c>
      <c r="Y196" s="8"/>
      <c r="Z196" s="24" t="s">
        <v>21</v>
      </c>
      <c r="AA196" s="8"/>
      <c r="AB196" s="8"/>
      <c r="AC196" s="8"/>
      <c r="AD196" s="24" t="s">
        <v>352</v>
      </c>
      <c r="AE196" s="8"/>
      <c r="AF196" s="24" t="s">
        <v>270</v>
      </c>
      <c r="AG196" s="8"/>
      <c r="AH196" s="8"/>
      <c r="AI196" s="24" t="s">
        <v>271</v>
      </c>
      <c r="AJ196" s="8"/>
      <c r="AK196" s="24" t="s">
        <v>272</v>
      </c>
      <c r="AL196" s="8"/>
      <c r="AM196" s="8"/>
      <c r="AN196" s="8"/>
      <c r="AO196" s="8"/>
      <c r="AP196" s="24" t="s">
        <v>1315</v>
      </c>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24" t="s">
        <v>73</v>
      </c>
      <c r="CC196" s="8"/>
      <c r="CD196" s="8"/>
      <c r="CE196" s="8"/>
      <c r="CF196" s="8"/>
      <c r="CG196" s="8"/>
      <c r="CH196" s="24" t="s">
        <v>79</v>
      </c>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24" t="s">
        <v>73</v>
      </c>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24" t="s">
        <v>73</v>
      </c>
      <c r="EW196" s="8"/>
      <c r="EX196" s="8"/>
      <c r="EY196" s="8"/>
      <c r="EZ196" s="8"/>
      <c r="FA196" s="8"/>
      <c r="FB196" s="8"/>
      <c r="FC196" s="8"/>
      <c r="FD196" s="8"/>
      <c r="FE196" s="8"/>
      <c r="FF196" s="8"/>
      <c r="FG196" s="8"/>
      <c r="FH196" s="8"/>
      <c r="FI196" s="8"/>
      <c r="FJ196" s="8"/>
      <c r="FK196" s="8"/>
      <c r="FL196" s="8"/>
      <c r="FM196" s="8"/>
      <c r="FN196" s="8"/>
      <c r="FO196" s="8"/>
      <c r="FP196" s="8"/>
      <c r="FQ196" s="8"/>
      <c r="FR196" s="24" t="s">
        <v>73</v>
      </c>
      <c r="FS196" s="8"/>
      <c r="FT196" s="8"/>
      <c r="FU196" s="8"/>
      <c r="FV196" s="8"/>
      <c r="FW196" s="8"/>
      <c r="FX196" s="8"/>
      <c r="FY196" s="8"/>
      <c r="FZ196" s="8"/>
      <c r="GA196" s="8"/>
      <c r="GB196" s="8"/>
      <c r="GC196" s="8"/>
      <c r="GD196" s="8"/>
      <c r="GE196" s="8"/>
      <c r="GF196" s="24" t="s">
        <v>73</v>
      </c>
      <c r="GG196" s="8"/>
      <c r="GH196" s="8"/>
      <c r="GI196" s="8"/>
      <c r="GJ196" s="8"/>
      <c r="GK196" s="8"/>
      <c r="GL196" s="8"/>
      <c r="GM196" s="8"/>
      <c r="GN196" s="8"/>
      <c r="GO196" s="8"/>
      <c r="GP196" s="24" t="s">
        <v>73</v>
      </c>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24" t="s">
        <v>73</v>
      </c>
      <c r="HS196" s="8"/>
      <c r="HT196" s="8"/>
      <c r="HU196" s="8"/>
      <c r="HV196" s="8"/>
      <c r="HW196" s="8"/>
      <c r="HX196" s="8"/>
      <c r="HY196" s="8"/>
      <c r="HZ196" s="8"/>
      <c r="IA196" s="8"/>
      <c r="IB196" s="24" t="s">
        <v>73</v>
      </c>
      <c r="IC196" s="8"/>
      <c r="ID196" s="8"/>
      <c r="IE196" s="8"/>
      <c r="IF196" s="8"/>
      <c r="IG196" s="8"/>
      <c r="IH196" s="8"/>
      <c r="II196" s="8"/>
      <c r="IJ196" s="24" t="s">
        <v>73</v>
      </c>
      <c r="IK196" s="8"/>
      <c r="IL196" s="8"/>
      <c r="IM196" s="8"/>
      <c r="IN196" s="8"/>
      <c r="IO196" s="8"/>
      <c r="IP196" s="24" t="s">
        <v>225</v>
      </c>
      <c r="IQ196" s="8"/>
      <c r="IR196" s="8"/>
      <c r="IS196" s="8"/>
      <c r="IT196" s="8"/>
      <c r="IU196" s="8"/>
      <c r="IV196" s="8"/>
      <c r="IW196" s="8"/>
      <c r="IX196" s="24" t="s">
        <v>73</v>
      </c>
      <c r="IY196" s="8"/>
      <c r="IZ196" s="8"/>
      <c r="JA196" s="8"/>
      <c r="JB196" s="24" t="s">
        <v>73</v>
      </c>
      <c r="JC196" s="8"/>
      <c r="JD196" s="8"/>
      <c r="JE196" s="8"/>
      <c r="JF196" s="24" t="s">
        <v>73</v>
      </c>
      <c r="JG196" s="8"/>
      <c r="JH196" s="8"/>
      <c r="JI196" s="8"/>
      <c r="JJ196" s="8"/>
      <c r="JK196" s="8"/>
      <c r="JL196" s="8"/>
      <c r="JM196" s="8"/>
      <c r="JN196" s="8"/>
      <c r="JO196" s="8"/>
      <c r="JP196" s="8"/>
      <c r="JQ196" s="8"/>
      <c r="JR196" s="8"/>
      <c r="JS196" s="8"/>
      <c r="JT196" s="8"/>
      <c r="JU196" s="8"/>
      <c r="JV196" s="8"/>
      <c r="JW196" s="8"/>
      <c r="JX196" s="8"/>
      <c r="JY196" s="8"/>
      <c r="JZ196" s="8"/>
      <c r="KA196" s="8"/>
      <c r="KB196" s="8"/>
      <c r="KC196" s="8"/>
      <c r="KD196" s="8"/>
      <c r="KE196" s="8"/>
      <c r="KF196" s="24" t="s">
        <v>73</v>
      </c>
      <c r="KG196" s="8"/>
      <c r="KH196" s="24" t="s">
        <v>1316</v>
      </c>
      <c r="KI196" s="8"/>
      <c r="KJ196" s="24" t="s">
        <v>1317</v>
      </c>
      <c r="KK196" s="8"/>
    </row>
    <row r="197" spans="1:297" s="12" customFormat="1" ht="60" customHeight="1" x14ac:dyDescent="0.25">
      <c r="A197" s="9" t="str">
        <f t="shared" si="85"/>
        <v>Hoffmann, et al, (2026), The Lancet Infectious Diseases</v>
      </c>
      <c r="B197" s="10" t="str">
        <f t="shared" si="86"/>
        <v>Pseudovirus-based analysis of host cell entry and vaccine-induced neutralisation of Bundibugyo virus</v>
      </c>
      <c r="C197" s="11" t="str">
        <f t="shared" si="87"/>
        <v>Primary - short communication, Experimental, Peer-reviewed publication</v>
      </c>
      <c r="D197" s="11" t="str">
        <f t="shared" si="88"/>
        <v>Bundibugyo</v>
      </c>
      <c r="E197" s="11" t="str">
        <f t="shared" si="89"/>
        <v>Yes</v>
      </c>
      <c r="F197" s="11" t="str">
        <f t="shared" si="90"/>
        <v>In this correspondance, in vitro studies in cell lines, dendritic cells, and macrophages suggest that the unique polymorphisms in BDBV2026 glycoprotein do not affect cell entry efficiency. This study also provides evidence that the licensed VSV-EBOV vaccine induces antibodies that cross-neutralise all three BDBV strains with similar potency and durability, albeit with reduced potency compared with EBOV, and cross-neutralisation was not observed for three samples at day 28 and four samples at day 180 after vaccination. Nevertheless, these findings suggest that VSV-EBOV may confer some degree of cross-protection against BDBV.</v>
      </c>
      <c r="G197" s="11" t="str">
        <f t="shared" si="91"/>
        <v>Vaccine immunity measures (Ab, titre, cytokines); Pathogen mutations</v>
      </c>
      <c r="H197" s="11" t="str">
        <f t="shared" si="92"/>
        <v>Human - General population</v>
      </c>
      <c r="I197" s="11" t="str">
        <f t="shared" si="93"/>
        <v/>
      </c>
      <c r="J197" s="9" t="str">
        <f t="shared" si="94"/>
        <v>Mutations - All  pseudovirus particles entered HEK-293T cells with similar efficiency, whereas BDBV glycoprotein-bearing particles were slightly less efficient in entering Huh-7 cells compared with EBOVpp and SUDVpp (appendix pp 10–11). For dendritic cells and macrophages, a robust and similar entry of SUDVpp, BDBV2007–08pp, BDBV2012pp, and BDBV2026pp was detected, whereas EBOVpp showed reduced entry. In general, no differences in entry efficiencies were observed among particles bearing the different BDBV glycoprotein variants.
Vaccine immunity - Measures of protective immunity (antibodies/titres/cytokines): Before vaccination, none of the serum samples neutralised any of the pseudoviruses tested. In contrast, all vaccinees developed robust neutralising activity against EBOVpp at both 28 days (geometric mean titre [GMT] 43·0) and 180 days (GMT 34·1) after vaccination. Neutralisation of SUDVpp was low (GMT 6·6 at 28 days and 5·8 at 180 days), with detectable activity in only two vaccine recipients at 28 days and one vaccine recipient at 180 days after vaccination. Notably, antibodies elicited by VSV-EBOV also neutralised pseudoviruses bearing the glycoprotein of all three BDBV strains with similar potency, although neutralisation was 3·5–3·6-times less efficient compared with EBOVpp. BDBV-specific neutralisation was detected in six (70%) of ten vaccine recipients at day 28 (GMTs 12·1–12·3) and six (60%) at day 180 (GMTs 9·6–9·8.</v>
      </c>
      <c r="K197" s="9" t="str">
        <f t="shared" si="95"/>
        <v>Generated particles carrying the glycoprotein of three BDBV strains (BDBV2007–08pp, BDBV2012pp, and BDBV2026pp), the 2014 west African EBOV strain (EBOVpp), and the 1976 SUDV strain (SUDVpp). The three BDBV glycoproteins differ by sixteen polymorphisms, with BDBV2007–08 glycoprotein containing ten unique polymorphisms, BDBV2012 glycoprotein containing four unique polymorphisms, and BDBV2026-glycoprotein containing two unique polymorphisms.  Investigated glycoprotein-mediated viral entry of these particles into two human cell lines, HEK-293T (kidney) and Huh-7 (liver), and human peripheral blood monocyte-derived dendritic cells and macrophages, the latter of which are primary target cells of orthoebolaviruses. Then, they investigated whether the licensed VSV-EBOV vaccine (Ervebo, Merck; IDT Biologika, Dessau-Rosslau, Germany) induces antibodies that cross-neutralise BDBV2026pp. They analysed serum samples that were collected from ten healthy volunteers before vaccination and at 28 days and 180 days after recombinant VSV-Zaire ebolavirus (rVSV-ZEBOV) vaccination during a previous phase 1 clinical trial.</v>
      </c>
      <c r="L197" s="9"/>
      <c r="N197" s="8" t="str">
        <f t="shared" si="96"/>
        <v>https://doi.org/10.1016/S1473-3099(26)00407-X</v>
      </c>
      <c r="O197" s="24">
        <v>813</v>
      </c>
      <c r="P197" s="24" t="s">
        <v>1318</v>
      </c>
      <c r="Q197" s="24" t="s">
        <v>1319</v>
      </c>
      <c r="R197" s="24" t="s">
        <v>1320</v>
      </c>
      <c r="S197" s="24" t="s">
        <v>1321</v>
      </c>
      <c r="T197" s="24" t="s">
        <v>266</v>
      </c>
      <c r="U197" s="8"/>
      <c r="V197" s="24" t="s">
        <v>267</v>
      </c>
      <c r="W197" s="8"/>
      <c r="X197" s="24" t="s">
        <v>1322</v>
      </c>
      <c r="Y197" s="8"/>
      <c r="Z197" s="24" t="s">
        <v>21</v>
      </c>
      <c r="AA197" s="8"/>
      <c r="AB197" s="8"/>
      <c r="AC197" s="8"/>
      <c r="AD197" s="24" t="s">
        <v>352</v>
      </c>
      <c r="AE197" s="8"/>
      <c r="AF197" s="24" t="s">
        <v>270</v>
      </c>
      <c r="AG197" s="8"/>
      <c r="AH197" s="8"/>
      <c r="AI197" s="24" t="s">
        <v>271</v>
      </c>
      <c r="AJ197" s="8"/>
      <c r="AK197" s="24" t="s">
        <v>490</v>
      </c>
      <c r="AL197" s="8"/>
      <c r="AM197" s="8"/>
      <c r="AN197" s="8"/>
      <c r="AO197" s="8"/>
      <c r="AP197" s="24" t="s">
        <v>1323</v>
      </c>
      <c r="AQ197" s="8"/>
      <c r="AR197" s="24" t="s">
        <v>37</v>
      </c>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24" t="s">
        <v>79</v>
      </c>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24" t="s">
        <v>73</v>
      </c>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24" t="s">
        <v>73</v>
      </c>
      <c r="EW197" s="8"/>
      <c r="EX197" s="8"/>
      <c r="EY197" s="8"/>
      <c r="EZ197" s="8"/>
      <c r="FA197" s="8"/>
      <c r="FB197" s="8"/>
      <c r="FC197" s="8"/>
      <c r="FD197" s="8"/>
      <c r="FE197" s="8"/>
      <c r="FF197" s="8"/>
      <c r="FG197" s="8"/>
      <c r="FH197" s="8"/>
      <c r="FI197" s="8"/>
      <c r="FJ197" s="8"/>
      <c r="FK197" s="8"/>
      <c r="FL197" s="8"/>
      <c r="FM197" s="8"/>
      <c r="FN197" s="8"/>
      <c r="FO197" s="8"/>
      <c r="FP197" s="8"/>
      <c r="FQ197" s="8"/>
      <c r="FR197" s="24" t="s">
        <v>73</v>
      </c>
      <c r="FS197" s="8"/>
      <c r="FT197" s="8"/>
      <c r="FU197" s="8"/>
      <c r="FV197" s="8"/>
      <c r="FW197" s="8"/>
      <c r="FX197" s="8"/>
      <c r="FY197" s="8"/>
      <c r="FZ197" s="8"/>
      <c r="GA197" s="8"/>
      <c r="GB197" s="24" t="s">
        <v>169</v>
      </c>
      <c r="GC197" s="8"/>
      <c r="GD197" s="8"/>
      <c r="GE197" s="8"/>
      <c r="GF197" s="8"/>
      <c r="GG197" s="8"/>
      <c r="GH197" s="8"/>
      <c r="GI197" s="8"/>
      <c r="GJ197" s="8"/>
      <c r="GK197" s="8"/>
      <c r="GL197" s="8"/>
      <c r="GM197" s="8"/>
      <c r="GN197" s="8"/>
      <c r="GO197" s="8"/>
      <c r="GP197" s="24" t="s">
        <v>73</v>
      </c>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24" t="s">
        <v>73</v>
      </c>
      <c r="HS197" s="8"/>
      <c r="HT197" s="8"/>
      <c r="HU197" s="8"/>
      <c r="HV197" s="8"/>
      <c r="HW197" s="8"/>
      <c r="HX197" s="8"/>
      <c r="HY197" s="8"/>
      <c r="HZ197" s="8"/>
      <c r="IA197" s="8"/>
      <c r="IB197" s="24" t="s">
        <v>73</v>
      </c>
      <c r="IC197" s="8"/>
      <c r="ID197" s="8"/>
      <c r="IE197" s="8"/>
      <c r="IF197" s="8"/>
      <c r="IG197" s="8"/>
      <c r="IH197" s="8"/>
      <c r="II197" s="8"/>
      <c r="IJ197" s="24" t="s">
        <v>73</v>
      </c>
      <c r="IK197" s="8"/>
      <c r="IL197" s="24" t="s">
        <v>221</v>
      </c>
      <c r="IM197" s="8"/>
      <c r="IN197" s="8"/>
      <c r="IO197" s="8"/>
      <c r="IP197" s="8"/>
      <c r="IQ197" s="8"/>
      <c r="IR197" s="8"/>
      <c r="IS197" s="8"/>
      <c r="IT197" s="8"/>
      <c r="IU197" s="8"/>
      <c r="IV197" s="8"/>
      <c r="IW197" s="8"/>
      <c r="IX197" s="24" t="s">
        <v>73</v>
      </c>
      <c r="IY197" s="8"/>
      <c r="IZ197" s="8"/>
      <c r="JA197" s="8"/>
      <c r="JB197" s="24" t="s">
        <v>73</v>
      </c>
      <c r="JC197" s="8"/>
      <c r="JD197" s="8"/>
      <c r="JE197" s="8"/>
      <c r="JF197" s="24" t="s">
        <v>73</v>
      </c>
      <c r="JG197" s="8"/>
      <c r="JH197" s="8"/>
      <c r="JI197" s="8"/>
      <c r="JJ197" s="8"/>
      <c r="JK197" s="8"/>
      <c r="JL197" s="8"/>
      <c r="JM197" s="8"/>
      <c r="JN197" s="8"/>
      <c r="JO197" s="8"/>
      <c r="JP197" s="8"/>
      <c r="JQ197" s="8"/>
      <c r="JR197" s="8"/>
      <c r="JS197" s="8"/>
      <c r="JT197" s="8"/>
      <c r="JU197" s="8"/>
      <c r="JV197" s="8"/>
      <c r="JW197" s="8"/>
      <c r="JX197" s="8"/>
      <c r="JY197" s="8"/>
      <c r="JZ197" s="8"/>
      <c r="KA197" s="8"/>
      <c r="KB197" s="8"/>
      <c r="KC197" s="8"/>
      <c r="KD197" s="8"/>
      <c r="KE197" s="8"/>
      <c r="KF197" s="24" t="s">
        <v>73</v>
      </c>
      <c r="KG197" s="8"/>
      <c r="KH197" s="24" t="s">
        <v>1324</v>
      </c>
      <c r="KI197" s="8"/>
      <c r="KJ197" s="24" t="s">
        <v>1325</v>
      </c>
      <c r="KK197" s="8"/>
    </row>
    <row r="198" spans="1:297" s="12" customFormat="1" ht="60" customHeight="1" x14ac:dyDescent="0.25">
      <c r="A198" s="9" t="str">
        <f t="shared" si="85"/>
        <v>Mohamed, et al, (2026), Journal of Virus Eradication</v>
      </c>
      <c r="B198" s="10" t="str">
        <f t="shared" si="86"/>
        <v>Strengthening Ebola virus disease preparedness in Somalia: Lessons from the 2026 Eastern DRC outbreak for early warning and rapid response</v>
      </c>
      <c r="C198" s="11" t="str">
        <f t="shared" si="87"/>
        <v>Commentary, Peer-reviewed publication</v>
      </c>
      <c r="D198" s="11" t="str">
        <f t="shared" si="88"/>
        <v>Bundibugyo</v>
      </c>
      <c r="E198" s="11" t="str">
        <f t="shared" si="89"/>
        <v>Yes</v>
      </c>
      <c r="F198" s="11" t="str">
        <f t="shared" si="90"/>
        <v/>
      </c>
      <c r="G198" s="11" t="str">
        <f t="shared" si="91"/>
        <v/>
      </c>
      <c r="H198" s="11" t="str">
        <f t="shared" si="92"/>
        <v/>
      </c>
      <c r="I198" s="11" t="str">
        <f t="shared" si="93"/>
        <v/>
      </c>
      <c r="J198" s="9" t="str">
        <f t="shared" si="94"/>
        <v/>
      </c>
      <c r="K198" s="9" t="str">
        <f t="shared" si="95"/>
        <v/>
      </c>
      <c r="L198" s="9"/>
      <c r="N198" s="8" t="str">
        <f t="shared" si="96"/>
        <v>https://doi.org/10.1016/j.jve.2026.100632</v>
      </c>
      <c r="O198" s="24">
        <v>815</v>
      </c>
      <c r="P198" s="24" t="s">
        <v>1326</v>
      </c>
      <c r="Q198" s="24" t="s">
        <v>1327</v>
      </c>
      <c r="R198" s="24" t="s">
        <v>1328</v>
      </c>
      <c r="S198" s="24" t="s">
        <v>1329</v>
      </c>
      <c r="T198" s="24" t="s">
        <v>266</v>
      </c>
      <c r="U198" s="8"/>
      <c r="V198" s="24">
        <v>2</v>
      </c>
      <c r="W198" s="8"/>
      <c r="X198" s="24" t="s">
        <v>1330</v>
      </c>
      <c r="Y198" s="8"/>
      <c r="Z198" s="24" t="s">
        <v>21</v>
      </c>
      <c r="AA198" s="8"/>
      <c r="AB198" s="8"/>
      <c r="AC198" s="8"/>
      <c r="AD198" s="24" t="s">
        <v>352</v>
      </c>
      <c r="AE198" s="8"/>
      <c r="AF198" s="24" t="s">
        <v>270</v>
      </c>
      <c r="AG198" s="8"/>
      <c r="AH198" s="8"/>
      <c r="AI198" s="24" t="s">
        <v>271</v>
      </c>
      <c r="AJ198" s="8"/>
      <c r="AK198" s="24" t="s">
        <v>425</v>
      </c>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c r="IW198" s="8"/>
      <c r="IX198" s="8"/>
      <c r="IY198" s="8"/>
      <c r="IZ198" s="8"/>
      <c r="JA198" s="8"/>
      <c r="JB198" s="8"/>
      <c r="JC198" s="8"/>
      <c r="JD198" s="8"/>
      <c r="JE198" s="8"/>
      <c r="JF198" s="8"/>
      <c r="JG198" s="8"/>
      <c r="JH198" s="8"/>
      <c r="JI198" s="8"/>
      <c r="JJ198" s="8"/>
      <c r="JK198" s="8"/>
      <c r="JL198" s="8"/>
      <c r="JM198" s="8"/>
      <c r="JN198" s="8"/>
      <c r="JO198" s="8"/>
      <c r="JP198" s="8"/>
      <c r="JQ198" s="8"/>
      <c r="JR198" s="8"/>
      <c r="JS198" s="8"/>
      <c r="JT198" s="8"/>
      <c r="JU198" s="8"/>
      <c r="JV198" s="8"/>
      <c r="JW198" s="8"/>
      <c r="JX198" s="8"/>
      <c r="JY198" s="8"/>
      <c r="JZ198" s="8"/>
      <c r="KA198" s="8"/>
      <c r="KB198" s="8"/>
      <c r="KC198" s="8"/>
      <c r="KD198" s="8"/>
      <c r="KE198" s="8"/>
      <c r="KF198" s="8"/>
      <c r="KG198" s="8"/>
      <c r="KH198" s="8"/>
      <c r="KI198" s="8"/>
      <c r="KJ198" s="8"/>
      <c r="KK198" s="8"/>
    </row>
    <row r="199" spans="1:297" s="12" customFormat="1" ht="60" customHeight="1" x14ac:dyDescent="0.25">
      <c r="A199" s="9" t="str">
        <f t="shared" si="85"/>
        <v>Juyal, et al, (2026), Journal of travel medicine</v>
      </c>
      <c r="B199" s="10" t="str">
        <f t="shared" si="86"/>
        <v>The 2026 Bundibugyo outbreak exposes critical gaps in ebola vaccine preparedness beyond Zaire and Sudan</v>
      </c>
      <c r="C199" s="11" t="str">
        <f t="shared" si="87"/>
        <v>Commentary, Peer-reviewed publication</v>
      </c>
      <c r="D199" s="11" t="str">
        <f t="shared" si="88"/>
        <v>Bundibugyo</v>
      </c>
      <c r="E199" s="11" t="str">
        <f t="shared" si="89"/>
        <v>Yes</v>
      </c>
      <c r="F199" s="11" t="str">
        <f t="shared" si="90"/>
        <v/>
      </c>
      <c r="G199" s="11" t="str">
        <f t="shared" si="91"/>
        <v/>
      </c>
      <c r="H199" s="11" t="str">
        <f t="shared" si="92"/>
        <v/>
      </c>
      <c r="I199" s="11" t="str">
        <f t="shared" si="93"/>
        <v/>
      </c>
      <c r="J199" s="9" t="str">
        <f t="shared" si="94"/>
        <v/>
      </c>
      <c r="K199" s="9" t="str">
        <f t="shared" si="95"/>
        <v/>
      </c>
      <c r="L199" s="9"/>
      <c r="N199" s="8" t="str">
        <f t="shared" si="96"/>
        <v>https://doi.org/10.1093/jtm/taag067</v>
      </c>
      <c r="O199" s="24">
        <v>818</v>
      </c>
      <c r="P199" s="24" t="s">
        <v>1331</v>
      </c>
      <c r="Q199" s="24" t="s">
        <v>1332</v>
      </c>
      <c r="R199" s="24" t="s">
        <v>1333</v>
      </c>
      <c r="S199" s="24" t="s">
        <v>1334</v>
      </c>
      <c r="T199" s="24" t="s">
        <v>266</v>
      </c>
      <c r="U199" s="8"/>
      <c r="V199" s="24">
        <v>2</v>
      </c>
      <c r="W199" s="8"/>
      <c r="X199" s="24" t="s">
        <v>1335</v>
      </c>
      <c r="Y199" s="8"/>
      <c r="Z199" s="24" t="s">
        <v>21</v>
      </c>
      <c r="AA199" s="8"/>
      <c r="AB199" s="8"/>
      <c r="AC199" s="8"/>
      <c r="AD199" s="24" t="s">
        <v>352</v>
      </c>
      <c r="AE199" s="8"/>
      <c r="AF199" s="24" t="s">
        <v>270</v>
      </c>
      <c r="AG199" s="8"/>
      <c r="AH199" s="8"/>
      <c r="AI199" s="24" t="s">
        <v>271</v>
      </c>
      <c r="AJ199" s="8"/>
      <c r="AK199" s="24" t="s">
        <v>425</v>
      </c>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c r="JC199" s="8"/>
      <c r="JD199" s="8"/>
      <c r="JE199" s="8"/>
      <c r="JF199" s="8"/>
      <c r="JG199" s="8"/>
      <c r="JH199" s="8"/>
      <c r="JI199" s="8"/>
      <c r="JJ199" s="8"/>
      <c r="JK199" s="8"/>
      <c r="JL199" s="8"/>
      <c r="JM199" s="8"/>
      <c r="JN199" s="8"/>
      <c r="JO199" s="8"/>
      <c r="JP199" s="8"/>
      <c r="JQ199" s="8"/>
      <c r="JR199" s="8"/>
      <c r="JS199" s="8"/>
      <c r="JT199" s="8"/>
      <c r="JU199" s="8"/>
      <c r="JV199" s="8"/>
      <c r="JW199" s="8"/>
      <c r="JX199" s="8"/>
      <c r="JY199" s="8"/>
      <c r="JZ199" s="8"/>
      <c r="KA199" s="8"/>
      <c r="KB199" s="8"/>
      <c r="KC199" s="8"/>
      <c r="KD199" s="8"/>
      <c r="KE199" s="8"/>
      <c r="KF199" s="8"/>
      <c r="KG199" s="8"/>
      <c r="KH199" s="8"/>
      <c r="KI199" s="8"/>
      <c r="KJ199" s="8"/>
      <c r="KK199" s="8"/>
    </row>
    <row r="200" spans="1:297" s="12" customFormat="1" ht="60" customHeight="1" x14ac:dyDescent="0.25">
      <c r="A200" s="9" t="str">
        <f t="shared" si="85"/>
        <v xml:space="preserve">NANTALAGA, et al, (2026) </v>
      </c>
      <c r="B200" s="10" t="str">
        <f t="shared" si="86"/>
        <v>"Blame the bats again": YouTube reactions to the 2026 Ebola public health emergency reveal mistrust, misinformation, and geopolitical anxiety</v>
      </c>
      <c r="C200" s="11" t="str">
        <f t="shared" si="87"/>
        <v>Primary - article, Internet analytics, Preprint</v>
      </c>
      <c r="D200" s="11" t="str">
        <f t="shared" si="88"/>
        <v>Bundibugyo</v>
      </c>
      <c r="E200" s="11" t="str">
        <f t="shared" si="89"/>
        <v>Yes</v>
      </c>
      <c r="F200" s="11" t="str">
        <f t="shared" si="90"/>
        <v>This study analysed public discourse and sentiment surrounding the outbreak, focusing on thematic trends in YouTube comments, using a qualitative synthesis that combined thematic content analysis with topic modelling. Five themes emerged: geopolitical and cultural context (25.5%); public figures, conspiracy theories, and misinformation (28.5%); disease spread and transmission (21.5%); public health measures and preparedness (20.2%); and religious and spiritual interpretation (4.3%). Discourse was strongly shaped by border concerns, mistrust of institutions, global aid politics, and comparisons with COVID-19, and sentiment was split near-evenly between fear and trust.</v>
      </c>
      <c r="G200" s="11" t="str">
        <f t="shared" si="91"/>
        <v>Internet Analytics</v>
      </c>
      <c r="H200" s="11" t="str">
        <f t="shared" si="92"/>
        <v>Human - General population</v>
      </c>
      <c r="I200" s="11" t="str">
        <f t="shared" si="93"/>
        <v/>
      </c>
      <c r="J200" s="9" t="str">
        <f t="shared" si="94"/>
        <v>Internet Analytics:  Authors identified YouTube videos related to the current Ebola outbreak and analyzed 4087 meaningful comments across 5 themes: Public figures, conspiracy theories, and misinformation, Geopolitical and cultural context, Disease spread and transmission, Public health measures and preparedness, Religious and spiritual interpretation. 
Public figures, conspiracy theories, and misinformation: This was the most prominent theme, accounting for 28.5% of comments, centred on distrust of institutions and unfounded claims. The Conspiracy subtheme included assertions that "viruses are made in a laboratory" and that "African leaders have trusted the West too much," while the Misinformation subtheme captured accusations of orchestrated alarm, with one user insisting they would not "fall for those lies anymore... fearmongering posters, videos, lies." Discussion also linked the outbreak to international aid decisions and named public figures, reflecting broader scepticism toward global health institutions.
Geopolitical and cultural context: This theme accounted for 25.5% of comments. The Borders and Travel subtheme captured strong demands for border and flight restrictions with affected countries, while the Regional Focus subtheme reflected discussion of the DRC and the wider African region as the outbreak's epicentre, frequently framed against global power and resource interests. One commenter questioned the geopolitical framing, asking "how the whole narrative would change if Congo had no exploitable minerals," while another pushed back on generalisations about the continent, noting that "not all countries in Africa have Ebola. Africa is made of many countries."
Disease spread and transmission: This theme accounted for 21.5% of comments and addressed how Ebola spreads and how dangerous it might become. A Transmission Routes subtheme featured discussion of animal sources and bushmeat, including resigned remarks such as "it's only confined until it's not. Oh, blame the bats again." A Comparative subtheme drew repeated parallels with COVID-19 and other outbreaks, with one commenter listing "measles, hanta, Ebola, COVID" and concluding that "humanity is not prepared." 
Public health measures and preparedness: This theme accounted for 20.2% of comments and covered vaccines, protective behaviour, and health-system capacity. The Vaccination subtheme reflected frustration over the pace of development, exemplified by the question, "COVID came out and within a year we had vaccines, but Ebola has been a threat for years and still no vaccine?" The Preparedness subtheme captured practical concerns about containment, with one user observing that "finding people who have been exposed is extremely difficult since people are always travelling around the world."
Religious and spiritual interpretation: This theme accounted for 4.3% of comments. Commenters framed the outbreak in spiritual terms, debating divine versus human causation, "is it the government or is it God doing this?", and expressing faith-based responses such as "I hope and pray that it will not spread worldwide."
Sentiment: Lexicon-based analysis showed a near-even split between negative (4,390) and positive (4,287) valence. Among discrete emotions, fear (2,846) and trust (2,841) were the most prominent and almost equally weighted, followed by anticipation (2,226) and sadness (2,201), and then anger (1,720), joy (1,483), disgust (1,483), and surprise (1,362). This balance indicates that public discourse was shaped simultaneously by apprehension about the outbreak and by expressions of trust and hope.</v>
      </c>
      <c r="K200" s="9" t="str">
        <f t="shared" si="95"/>
        <v>The study analyzed public responses to the 2026 Bundibugyo virus disease outbreak by examining comments on the 10 most-viewed Ebola-related YouTube videos posted after the WHO declared the outbreak a Public Health Emergency of International Concern. Researchers collected and cleaned more than 4,000 comments, applied topic modeling to identify major discussion themes, and performed sentiment analysis to measure the emotions and attitudes expressed by users. Using Latent Dirichlet Allocation (LDA), comments were grouped into 20 topics and then consolidated into five broader themes, while sentiment analysis classified comments according to emotional tone. The study was conducted entirely using publicly available data, following STROBE reporting guidelines, with all analyses performed in R and measures taken to preserve commenter anonymity.</v>
      </c>
      <c r="L200" s="9"/>
      <c r="N200" s="8" t="str">
        <f t="shared" si="96"/>
        <v>https://doi.org/10.64898/2026.07.22.26358723</v>
      </c>
      <c r="O200" s="24">
        <v>821</v>
      </c>
      <c r="P200" s="24" t="s">
        <v>1409</v>
      </c>
      <c r="Q200" s="24" t="s">
        <v>1336</v>
      </c>
      <c r="R200" s="24" t="s">
        <v>1337</v>
      </c>
      <c r="S200" s="24" t="s">
        <v>1338</v>
      </c>
      <c r="T200" s="24" t="s">
        <v>266</v>
      </c>
      <c r="U200" s="8"/>
      <c r="V200" s="24" t="s">
        <v>267</v>
      </c>
      <c r="W200" s="8"/>
      <c r="X200" s="24" t="s">
        <v>1339</v>
      </c>
      <c r="Y200" s="8"/>
      <c r="Z200" s="24" t="s">
        <v>21</v>
      </c>
      <c r="AA200" s="8"/>
      <c r="AB200" s="8"/>
      <c r="AC200" s="8"/>
      <c r="AD200" s="24" t="s">
        <v>352</v>
      </c>
      <c r="AE200" s="8"/>
      <c r="AF200" s="24" t="s">
        <v>270</v>
      </c>
      <c r="AG200" s="8"/>
      <c r="AH200" s="8"/>
      <c r="AI200" s="24" t="s">
        <v>353</v>
      </c>
      <c r="AJ200" s="8"/>
      <c r="AK200" s="24" t="s">
        <v>272</v>
      </c>
      <c r="AL200" s="8"/>
      <c r="AM200" s="8"/>
      <c r="AN200" s="8"/>
      <c r="AO200" s="8"/>
      <c r="AP200" s="24" t="s">
        <v>1340</v>
      </c>
      <c r="AQ200" s="8"/>
      <c r="AR200" s="24" t="s">
        <v>37</v>
      </c>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24" t="s">
        <v>91</v>
      </c>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24" t="s">
        <v>73</v>
      </c>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24" t="s">
        <v>73</v>
      </c>
      <c r="EW200" s="8"/>
      <c r="EX200" s="8"/>
      <c r="EY200" s="8"/>
      <c r="EZ200" s="8"/>
      <c r="FA200" s="8"/>
      <c r="FB200" s="8"/>
      <c r="FC200" s="8"/>
      <c r="FD200" s="8"/>
      <c r="FE200" s="8"/>
      <c r="FF200" s="8"/>
      <c r="FG200" s="8"/>
      <c r="FH200" s="8"/>
      <c r="FI200" s="8"/>
      <c r="FJ200" s="8"/>
      <c r="FK200" s="8"/>
      <c r="FL200" s="8"/>
      <c r="FM200" s="8"/>
      <c r="FN200" s="8"/>
      <c r="FO200" s="8"/>
      <c r="FP200" s="8"/>
      <c r="FQ200" s="8"/>
      <c r="FR200" s="24" t="s">
        <v>73</v>
      </c>
      <c r="FS200" s="8"/>
      <c r="FT200" s="8"/>
      <c r="FU200" s="8"/>
      <c r="FV200" s="8"/>
      <c r="FW200" s="8"/>
      <c r="FX200" s="8"/>
      <c r="FY200" s="8"/>
      <c r="FZ200" s="8"/>
      <c r="GA200" s="8"/>
      <c r="GB200" s="8"/>
      <c r="GC200" s="8"/>
      <c r="GD200" s="8"/>
      <c r="GE200" s="8"/>
      <c r="GF200" s="24" t="s">
        <v>73</v>
      </c>
      <c r="GG200" s="8"/>
      <c r="GH200" s="8"/>
      <c r="GI200" s="8"/>
      <c r="GJ200" s="8"/>
      <c r="GK200" s="8"/>
      <c r="GL200" s="8"/>
      <c r="GM200" s="8"/>
      <c r="GN200" s="8"/>
      <c r="GO200" s="8"/>
      <c r="GP200" s="24" t="s">
        <v>73</v>
      </c>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24" t="s">
        <v>73</v>
      </c>
      <c r="HS200" s="8"/>
      <c r="HT200" s="8"/>
      <c r="HU200" s="8"/>
      <c r="HV200" s="8"/>
      <c r="HW200" s="8"/>
      <c r="HX200" s="8"/>
      <c r="HY200" s="8"/>
      <c r="HZ200" s="8"/>
      <c r="IA200" s="8"/>
      <c r="IB200" s="24" t="s">
        <v>73</v>
      </c>
      <c r="IC200" s="8"/>
      <c r="ID200" s="8"/>
      <c r="IE200" s="8"/>
      <c r="IF200" s="8"/>
      <c r="IG200" s="8"/>
      <c r="IH200" s="8"/>
      <c r="II200" s="8"/>
      <c r="IJ200" s="24" t="s">
        <v>73</v>
      </c>
      <c r="IK200" s="8"/>
      <c r="IL200" s="8"/>
      <c r="IM200" s="8"/>
      <c r="IN200" s="8"/>
      <c r="IO200" s="8"/>
      <c r="IP200" s="8"/>
      <c r="IQ200" s="8"/>
      <c r="IR200" s="8"/>
      <c r="IS200" s="8"/>
      <c r="IT200" s="24" t="s">
        <v>73</v>
      </c>
      <c r="IU200" s="8"/>
      <c r="IV200" s="8"/>
      <c r="IW200" s="8"/>
      <c r="IX200" s="24" t="s">
        <v>73</v>
      </c>
      <c r="IY200" s="8"/>
      <c r="IZ200" s="24" t="s">
        <v>231</v>
      </c>
      <c r="JA200" s="8"/>
      <c r="JB200" s="8"/>
      <c r="JC200" s="8"/>
      <c r="JD200" s="8"/>
      <c r="JE200" s="8"/>
      <c r="JF200" s="24" t="s">
        <v>73</v>
      </c>
      <c r="JG200" s="8"/>
      <c r="JH200" s="8"/>
      <c r="JI200" s="8"/>
      <c r="JJ200" s="8"/>
      <c r="JK200" s="8"/>
      <c r="JL200" s="8"/>
      <c r="JM200" s="8"/>
      <c r="JN200" s="8"/>
      <c r="JO200" s="8"/>
      <c r="JP200" s="8"/>
      <c r="JQ200" s="8"/>
      <c r="JR200" s="8"/>
      <c r="JS200" s="8"/>
      <c r="JT200" s="8"/>
      <c r="JU200" s="8"/>
      <c r="JV200" s="8"/>
      <c r="JW200" s="8"/>
      <c r="JX200" s="8"/>
      <c r="JY200" s="8"/>
      <c r="JZ200" s="8"/>
      <c r="KA200" s="8"/>
      <c r="KB200" s="8"/>
      <c r="KC200" s="8"/>
      <c r="KD200" s="8"/>
      <c r="KE200" s="8"/>
      <c r="KF200" s="24" t="s">
        <v>73</v>
      </c>
      <c r="KG200" s="8"/>
      <c r="KH200" s="24" t="s">
        <v>1341</v>
      </c>
      <c r="KI200" s="8"/>
      <c r="KJ200" s="24" t="s">
        <v>1342</v>
      </c>
      <c r="KK200" s="8"/>
    </row>
    <row r="201" spans="1:297" s="12" customFormat="1" ht="60" customHeight="1" x14ac:dyDescent="0.25">
      <c r="A201" s="9" t="str">
        <f>P201</f>
        <v xml:space="preserve">Adusei-Mensah, et al, (2026) </v>
      </c>
      <c r="B201" s="10" t="str">
        <f t="shared" si="86"/>
        <v>Vaccine gaps in Bundibugyo ebolavirus outbreak control and their implications for global public health preparedness and response</v>
      </c>
      <c r="C201" s="11" t="str">
        <f t="shared" si="87"/>
        <v>Lit review, Preprint</v>
      </c>
      <c r="D201" s="11" t="str">
        <f t="shared" si="88"/>
        <v>Bundibugyo</v>
      </c>
      <c r="E201" s="11" t="str">
        <f t="shared" si="89"/>
        <v>Yes</v>
      </c>
      <c r="F201" s="11" t="str">
        <f t="shared" si="90"/>
        <v/>
      </c>
      <c r="G201" s="11" t="str">
        <f t="shared" si="91"/>
        <v/>
      </c>
      <c r="H201" s="11" t="str">
        <f t="shared" si="92"/>
        <v/>
      </c>
      <c r="I201" s="11" t="str">
        <f t="shared" si="93"/>
        <v/>
      </c>
      <c r="J201" s="9" t="str">
        <f t="shared" si="94"/>
        <v/>
      </c>
      <c r="K201" s="9" t="str">
        <f t="shared" si="95"/>
        <v/>
      </c>
      <c r="L201" s="9"/>
      <c r="N201" s="8" t="str">
        <f t="shared" si="96"/>
        <v>https://doi.org/10.21203/rs.3.rs-10092649/v1</v>
      </c>
      <c r="O201" s="24">
        <v>822</v>
      </c>
      <c r="P201" s="24" t="s">
        <v>1410</v>
      </c>
      <c r="Q201" s="24" t="s">
        <v>1343</v>
      </c>
      <c r="R201" s="24" t="s">
        <v>1344</v>
      </c>
      <c r="S201" s="24" t="s">
        <v>1345</v>
      </c>
      <c r="T201" s="24" t="s">
        <v>266</v>
      </c>
      <c r="U201" s="8"/>
      <c r="V201" s="24">
        <v>2</v>
      </c>
      <c r="W201" s="8"/>
      <c r="X201" s="24" t="s">
        <v>1346</v>
      </c>
      <c r="Y201" s="8"/>
      <c r="Z201" s="24" t="s">
        <v>21</v>
      </c>
      <c r="AA201" s="8"/>
      <c r="AB201" s="8"/>
      <c r="AC201" s="8"/>
      <c r="AD201" s="24" t="s">
        <v>352</v>
      </c>
      <c r="AE201" s="8"/>
      <c r="AF201" s="24" t="s">
        <v>270</v>
      </c>
      <c r="AG201" s="8"/>
      <c r="AH201" s="8"/>
      <c r="AI201" s="24" t="s">
        <v>353</v>
      </c>
      <c r="AJ201" s="8"/>
      <c r="AK201" s="24" t="s">
        <v>346</v>
      </c>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c r="JC201" s="8"/>
      <c r="JD201" s="8"/>
      <c r="JE201" s="8"/>
      <c r="JF201" s="8"/>
      <c r="JG201" s="8"/>
      <c r="JH201" s="8"/>
      <c r="JI201" s="8"/>
      <c r="JJ201" s="8"/>
      <c r="JK201" s="8"/>
      <c r="JL201" s="8"/>
      <c r="JM201" s="8"/>
      <c r="JN201" s="8"/>
      <c r="JO201" s="8"/>
      <c r="JP201" s="8"/>
      <c r="JQ201" s="8"/>
      <c r="JR201" s="8"/>
      <c r="JS201" s="8"/>
      <c r="JT201" s="8"/>
      <c r="JU201" s="8"/>
      <c r="JV201" s="8"/>
      <c r="JW201" s="8"/>
      <c r="JX201" s="8"/>
      <c r="JY201" s="8"/>
      <c r="JZ201" s="8"/>
      <c r="KA201" s="8"/>
      <c r="KB201" s="8"/>
      <c r="KC201" s="8"/>
      <c r="KD201" s="8"/>
      <c r="KE201" s="8"/>
      <c r="KF201" s="8"/>
      <c r="KG201" s="8"/>
      <c r="KH201" s="8"/>
      <c r="KI201" s="8"/>
      <c r="KJ201" s="8"/>
      <c r="KK201" s="8"/>
    </row>
    <row r="202" spans="1:297" s="12" customFormat="1" ht="60" customHeight="1" x14ac:dyDescent="0.25">
      <c r="A202" s="9" t="str">
        <f t="shared" si="85"/>
        <v>The, et al, (2026), The Lancet Haematology</v>
      </c>
      <c r="B202" s="10" t="str">
        <f>HYPERLINK(N202, Q202)</f>
        <v>Ebola outbreak: why haematology matters</v>
      </c>
      <c r="C202" s="11" t="str">
        <f t="shared" si="87"/>
        <v>Commentary, Peer-reviewed publication</v>
      </c>
      <c r="D202" s="11" t="str">
        <f t="shared" si="88"/>
        <v>Bundibugyo</v>
      </c>
      <c r="E202" s="11" t="str">
        <f t="shared" si="89"/>
        <v>Yes</v>
      </c>
      <c r="F202" s="11" t="str">
        <f t="shared" si="90"/>
        <v/>
      </c>
      <c r="G202" s="11" t="str">
        <f t="shared" si="91"/>
        <v/>
      </c>
      <c r="H202" s="11" t="str">
        <f t="shared" si="92"/>
        <v/>
      </c>
      <c r="I202" s="11" t="str">
        <f t="shared" si="93"/>
        <v/>
      </c>
      <c r="J202" s="9" t="str">
        <f t="shared" si="94"/>
        <v/>
      </c>
      <c r="K202" s="9" t="str">
        <f t="shared" si="95"/>
        <v/>
      </c>
      <c r="L202" s="9"/>
      <c r="N202" s="26" t="s">
        <v>1351</v>
      </c>
      <c r="O202" s="24">
        <v>826</v>
      </c>
      <c r="P202" s="24" t="s">
        <v>1347</v>
      </c>
      <c r="Q202" s="24" t="s">
        <v>1348</v>
      </c>
      <c r="R202" s="24" t="s">
        <v>1349</v>
      </c>
      <c r="S202" s="24" t="s">
        <v>1350</v>
      </c>
      <c r="T202" s="24" t="s">
        <v>266</v>
      </c>
      <c r="U202" s="8"/>
      <c r="V202" s="24">
        <v>2</v>
      </c>
      <c r="W202" s="8"/>
      <c r="X202" s="25" t="s">
        <v>1351</v>
      </c>
      <c r="Y202" s="8"/>
      <c r="Z202" s="24" t="s">
        <v>21</v>
      </c>
      <c r="AA202" s="8"/>
      <c r="AB202" s="8"/>
      <c r="AC202" s="8"/>
      <c r="AD202" s="24" t="s">
        <v>352</v>
      </c>
      <c r="AE202" s="8"/>
      <c r="AF202" s="24" t="s">
        <v>270</v>
      </c>
      <c r="AG202" s="8"/>
      <c r="AH202" s="8"/>
      <c r="AI202" s="24" t="s">
        <v>271</v>
      </c>
      <c r="AJ202" s="8"/>
      <c r="AK202" s="24" t="s">
        <v>425</v>
      </c>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c r="JC202" s="8"/>
      <c r="JD202" s="8"/>
      <c r="JE202" s="8"/>
      <c r="JF202" s="8"/>
      <c r="JG202" s="8"/>
      <c r="JH202" s="8"/>
      <c r="JI202" s="8"/>
      <c r="JJ202" s="8"/>
      <c r="JK202" s="8"/>
      <c r="JL202" s="8"/>
      <c r="JM202" s="8"/>
      <c r="JN202" s="8"/>
      <c r="JO202" s="8"/>
      <c r="JP202" s="8"/>
      <c r="JQ202" s="8"/>
      <c r="JR202" s="8"/>
      <c r="JS202" s="8"/>
      <c r="JT202" s="8"/>
      <c r="JU202" s="8"/>
      <c r="JV202" s="8"/>
      <c r="JW202" s="8"/>
      <c r="JX202" s="8"/>
      <c r="JY202" s="8"/>
      <c r="JZ202" s="8"/>
      <c r="KA202" s="8"/>
      <c r="KB202" s="8"/>
      <c r="KC202" s="8"/>
      <c r="KD202" s="8"/>
      <c r="KE202" s="8"/>
      <c r="KF202" s="8"/>
      <c r="KG202" s="8"/>
      <c r="KH202" s="8"/>
      <c r="KI202" s="8"/>
      <c r="KJ202" s="8"/>
      <c r="KK202" s="8"/>
    </row>
    <row r="203" spans="1:297" s="12" customFormat="1" ht="60" customHeight="1" x14ac:dyDescent="0.25">
      <c r="A203" s="9" t="str">
        <f>P203</f>
        <v xml:space="preserve">ECDC, (2026) </v>
      </c>
      <c r="B203" s="10" t="str">
        <f t="shared" si="86"/>
        <v>Communicable disease threats report, 18 - 24 July 2026, week 30</v>
      </c>
      <c r="C203" s="11" t="str">
        <f t="shared" si="87"/>
        <v>Other non-primary, Government report</v>
      </c>
      <c r="D203" s="11" t="str">
        <f t="shared" si="88"/>
        <v>Bundibugyo</v>
      </c>
      <c r="E203" s="11" t="str">
        <f t="shared" si="89"/>
        <v>Yes</v>
      </c>
      <c r="F203" s="11" t="str">
        <f t="shared" si="90"/>
        <v/>
      </c>
      <c r="G203" s="11" t="str">
        <f t="shared" si="91"/>
        <v/>
      </c>
      <c r="H203" s="11" t="str">
        <f t="shared" si="92"/>
        <v/>
      </c>
      <c r="I203" s="11" t="str">
        <f t="shared" si="93"/>
        <v/>
      </c>
      <c r="J203" s="9" t="str">
        <f t="shared" si="94"/>
        <v/>
      </c>
      <c r="K203" s="9" t="str">
        <f t="shared" si="95"/>
        <v/>
      </c>
      <c r="L203" s="9"/>
      <c r="N203" s="8" t="str">
        <f t="shared" si="96"/>
        <v>https://www.ecdc.europa.eu/en/publications-data/communicable-disease-threats-report-18-24-july-2026-week-30</v>
      </c>
      <c r="O203" s="24">
        <v>844</v>
      </c>
      <c r="P203" s="24" t="s">
        <v>1364</v>
      </c>
      <c r="Q203" s="24" t="s">
        <v>1352</v>
      </c>
      <c r="R203" s="8"/>
      <c r="S203" s="24" t="s">
        <v>1353</v>
      </c>
      <c r="T203" s="24" t="s">
        <v>266</v>
      </c>
      <c r="U203" s="8"/>
      <c r="V203" s="24">
        <v>2</v>
      </c>
      <c r="W203" s="8"/>
      <c r="X203" s="24" t="s">
        <v>1353</v>
      </c>
      <c r="Y203" s="8"/>
      <c r="Z203" s="24" t="s">
        <v>21</v>
      </c>
      <c r="AA203" s="8"/>
      <c r="AB203" s="8"/>
      <c r="AC203" s="8"/>
      <c r="AD203" s="24" t="s">
        <v>352</v>
      </c>
      <c r="AE203" s="8"/>
      <c r="AF203" s="24" t="s">
        <v>270</v>
      </c>
      <c r="AG203" s="8"/>
      <c r="AH203" s="8"/>
      <c r="AI203" s="24" t="s">
        <v>437</v>
      </c>
      <c r="AJ203" s="8"/>
      <c r="AK203" s="24" t="s">
        <v>449</v>
      </c>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c r="JC203" s="8"/>
      <c r="JD203" s="8"/>
      <c r="JE203" s="8"/>
      <c r="JF203" s="8"/>
      <c r="JG203" s="8"/>
      <c r="JH203" s="8"/>
      <c r="JI203" s="8"/>
      <c r="JJ203" s="8"/>
      <c r="JK203" s="8"/>
      <c r="JL203" s="8"/>
      <c r="JM203" s="8"/>
      <c r="JN203" s="8"/>
      <c r="JO203" s="8"/>
      <c r="JP203" s="8"/>
      <c r="JQ203" s="8"/>
      <c r="JR203" s="8"/>
      <c r="JS203" s="8"/>
      <c r="JT203" s="8"/>
      <c r="JU203" s="8"/>
      <c r="JV203" s="8"/>
      <c r="JW203" s="8"/>
      <c r="JX203" s="8"/>
      <c r="JY203" s="8"/>
      <c r="JZ203" s="8"/>
      <c r="KA203" s="8"/>
      <c r="KB203" s="8"/>
      <c r="KC203" s="8"/>
      <c r="KD203" s="8"/>
      <c r="KE203" s="8"/>
      <c r="KF203" s="8"/>
      <c r="KG203" s="8"/>
      <c r="KH203" s="8"/>
      <c r="KI203" s="8"/>
      <c r="KJ203" s="8"/>
      <c r="KK203" s="8"/>
    </row>
    <row r="204" spans="1:297" s="12" customFormat="1" ht="60" customHeight="1" x14ac:dyDescent="0.25">
      <c r="A204" s="9" t="str">
        <f t="shared" si="85"/>
        <v xml:space="preserve">Walsh, et al, (2026) </v>
      </c>
      <c r="B204" s="10" t="str">
        <f t="shared" si="86"/>
        <v>First person gets new experimental vaccine for Ebola</v>
      </c>
      <c r="C204" s="11" t="str">
        <f t="shared" si="87"/>
        <v>News, Other grey literature report</v>
      </c>
      <c r="D204" s="11" t="str">
        <f t="shared" si="88"/>
        <v>Bundibugyo</v>
      </c>
      <c r="E204" s="11" t="str">
        <f t="shared" si="89"/>
        <v>Yes</v>
      </c>
      <c r="F204" s="11" t="str">
        <f t="shared" si="90"/>
        <v/>
      </c>
      <c r="G204" s="11" t="str">
        <f t="shared" si="91"/>
        <v/>
      </c>
      <c r="H204" s="11" t="str">
        <f t="shared" si="92"/>
        <v/>
      </c>
      <c r="I204" s="11" t="str">
        <f t="shared" si="93"/>
        <v/>
      </c>
      <c r="J204" s="9" t="str">
        <f t="shared" si="94"/>
        <v/>
      </c>
      <c r="K204" s="9" t="str">
        <f t="shared" si="95"/>
        <v/>
      </c>
      <c r="L204" s="9"/>
      <c r="N204" s="8" t="str">
        <f t="shared" si="96"/>
        <v>https://www.bbc.com/news/articles/c8jn007gmpzo?at_medium=RSS&amp;at_campaign=rss</v>
      </c>
      <c r="O204" s="24">
        <v>845</v>
      </c>
      <c r="P204" s="24" t="s">
        <v>1411</v>
      </c>
      <c r="Q204" s="24" t="s">
        <v>1354</v>
      </c>
      <c r="R204" s="8"/>
      <c r="S204" s="24" t="s">
        <v>1355</v>
      </c>
      <c r="T204" s="24" t="s">
        <v>266</v>
      </c>
      <c r="U204" s="8"/>
      <c r="V204" s="24">
        <v>2</v>
      </c>
      <c r="W204" s="8"/>
      <c r="X204" s="24" t="s">
        <v>1355</v>
      </c>
      <c r="Y204" s="8"/>
      <c r="Z204" s="24" t="s">
        <v>21</v>
      </c>
      <c r="AA204" s="8"/>
      <c r="AB204" s="8"/>
      <c r="AC204" s="8"/>
      <c r="AD204" s="24" t="s">
        <v>352</v>
      </c>
      <c r="AE204" s="8"/>
      <c r="AF204" s="24" t="s">
        <v>270</v>
      </c>
      <c r="AG204" s="8"/>
      <c r="AH204" s="8"/>
      <c r="AI204" s="24" t="s">
        <v>306</v>
      </c>
      <c r="AJ204" s="8"/>
      <c r="AK204" s="24" t="s">
        <v>307</v>
      </c>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8"/>
      <c r="JP204" s="8"/>
      <c r="JQ204" s="8"/>
      <c r="JR204" s="8"/>
      <c r="JS204" s="8"/>
      <c r="JT204" s="8"/>
      <c r="JU204" s="8"/>
      <c r="JV204" s="8"/>
      <c r="JW204" s="8"/>
      <c r="JX204" s="8"/>
      <c r="JY204" s="8"/>
      <c r="JZ204" s="8"/>
      <c r="KA204" s="8"/>
      <c r="KB204" s="8"/>
      <c r="KC204" s="8"/>
      <c r="KD204" s="8"/>
      <c r="KE204" s="8"/>
      <c r="KF204" s="8"/>
      <c r="KG204" s="8"/>
      <c r="KH204" s="8"/>
      <c r="KI204" s="8"/>
      <c r="KJ204" s="8"/>
      <c r="KK204" s="8"/>
    </row>
  </sheetData>
  <hyperlinks>
    <hyperlink ref="X202" r:id="rId1" xr:uid="{21A5B69F-E148-433C-BD6E-68DC6AC72EEF}"/>
    <hyperlink ref="N202" r:id="rId2" xr:uid="{3FF272CA-6758-4C24-BE79-B55161327B7B}"/>
  </hyperlinks>
  <pageMargins left="0.7" right="0.7" top="0.75" bottom="0.75" header="0.3" footer="0.3"/>
  <pageSetup orientation="portrait" horizontalDpi="90" verticalDpi="90" r:id="rId3"/>
  <headerFooter>
    <oddHeader>&amp;R&amp;"Aptos"&amp;12&amp;K000000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8093-EEAB-4119-8B63-D3603FF20613}">
  <dimension ref="A1"/>
  <sheetViews>
    <sheetView workbookViewId="0"/>
  </sheetViews>
  <sheetFormatPr defaultRowHeight="15" x14ac:dyDescent="0.25"/>
  <sheetData/>
  <pageMargins left="0.7" right="0.7" top="0.75" bottom="0.75" header="0.3" footer="0.3"/>
  <headerFooter>
    <oddHeader>&amp;R&amp;"Aptos"&amp;12&amp;K000000 Unclassified / Non 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2CE2-D01C-4BAC-B093-21FF2156DD32}">
  <dimension ref="A1"/>
  <sheetViews>
    <sheetView workbookViewId="0"/>
  </sheetViews>
  <sheetFormatPr defaultRowHeight="15" x14ac:dyDescent="0.25"/>
  <sheetData/>
  <pageMargins left="0.7" right="0.7" top="0.75" bottom="0.75" header="0.3" footer="0.3"/>
  <headerFooter>
    <oddHeader>&amp;R&amp;"Aptos"&amp;12&amp;K000000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9d3329f-6a1e-4acc-b99c-1ffd87d44beb" xsi:nil="true"/>
    <lcf76f155ced4ddcb4097134ff3c332f xmlns="539560fe-e992-4752-bdc2-bf8b8ffbcc8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390098BB591B4080E644A803ABF8C4" ma:contentTypeVersion="15" ma:contentTypeDescription="Create a new document." ma:contentTypeScope="" ma:versionID="57bfd55389e717a24ff685f9c46c240b">
  <xsd:schema xmlns:xsd="http://www.w3.org/2001/XMLSchema" xmlns:xs="http://www.w3.org/2001/XMLSchema" xmlns:p="http://schemas.microsoft.com/office/2006/metadata/properties" xmlns:ns2="539560fe-e992-4752-bdc2-bf8b8ffbcc85" xmlns:ns3="69d3329f-6a1e-4acc-b99c-1ffd87d44beb" targetNamespace="http://schemas.microsoft.com/office/2006/metadata/properties" ma:root="true" ma:fieldsID="23e2b5dbf6760cd34300400ec8b1f1c2" ns2:_="" ns3:_="">
    <xsd:import namespace="539560fe-e992-4752-bdc2-bf8b8ffbcc85"/>
    <xsd:import namespace="69d3329f-6a1e-4acc-b99c-1ffd87d44be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9560fe-e992-4752-bdc2-bf8b8ffbcc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6ddb0ec-cae1-4b94-bdc6-d5be94c7207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d3329f-6a1e-4acc-b99c-1ffd87d44be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105ba6f-f545-4e31-8e05-295ff0869704}" ma:internalName="TaxCatchAll" ma:showField="CatchAllData" ma:web="69d3329f-6a1e-4acc-b99c-1ffd87d44be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D5AD43-1CA1-4A2A-8891-8D53697B8300}">
  <ds:schemaRefs>
    <ds:schemaRef ds:uri="http://schemas.microsoft.com/office/2006/metadata/properties"/>
    <ds:schemaRef ds:uri="539560fe-e992-4752-bdc2-bf8b8ffbcc85"/>
    <ds:schemaRef ds:uri="http://purl.org/dc/terms/"/>
    <ds:schemaRef ds:uri="69d3329f-6a1e-4acc-b99c-1ffd87d44beb"/>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2.xml><?xml version="1.0" encoding="utf-8"?>
<ds:datastoreItem xmlns:ds="http://schemas.openxmlformats.org/officeDocument/2006/customXml" ds:itemID="{EDFB9B68-75D2-44E5-BE1B-DED08ABCB124}">
  <ds:schemaRefs>
    <ds:schemaRef ds:uri="http://schemas.microsoft.com/sharepoint/v3/contenttype/forms"/>
  </ds:schemaRefs>
</ds:datastoreItem>
</file>

<file path=customXml/itemProps3.xml><?xml version="1.0" encoding="utf-8"?>
<ds:datastoreItem xmlns:ds="http://schemas.openxmlformats.org/officeDocument/2006/customXml" ds:itemID="{24B8F548-BFF0-42BB-BEC6-EC4318DA8E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9560fe-e992-4752-bdc2-bf8b8ffbcc85"/>
    <ds:schemaRef ds:uri="69d3329f-6a1e-4acc-b99c-1ffd87d44b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Waddell, Lisa (PHAC/ASPC)</dc:creator>
  <cp:keywords/>
  <dc:description/>
  <cp:lastModifiedBy>Samuel, Miriam (PHAC/ASPC)</cp:lastModifiedBy>
  <cp:revision/>
  <dcterms:created xsi:type="dcterms:W3CDTF">2026-05-28T17:10:25Z</dcterms:created>
  <dcterms:modified xsi:type="dcterms:W3CDTF">2026-07-28T14:08:42Z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d8ed60-cd71-485b-a85b-277aaf32f506_Enabled">
    <vt:lpwstr>true</vt:lpwstr>
  </property>
  <property fmtid="{D5CDD505-2E9C-101B-9397-08002B2CF9AE}" pid="3" name="MSIP_Label_05d8ed60-cd71-485b-a85b-277aaf32f506_SetDate">
    <vt:lpwstr>2026-05-28T17:11:31Z</vt:lpwstr>
  </property>
  <property fmtid="{D5CDD505-2E9C-101B-9397-08002B2CF9AE}" pid="4" name="MSIP_Label_05d8ed60-cd71-485b-a85b-277aaf32f506_Method">
    <vt:lpwstr>Standard</vt:lpwstr>
  </property>
  <property fmtid="{D5CDD505-2E9C-101B-9397-08002B2CF9AE}" pid="5" name="MSIP_Label_05d8ed60-cd71-485b-a85b-277aaf32f506_Name">
    <vt:lpwstr>Unclassified</vt:lpwstr>
  </property>
  <property fmtid="{D5CDD505-2E9C-101B-9397-08002B2CF9AE}" pid="6" name="MSIP_Label_05d8ed60-cd71-485b-a85b-277aaf32f506_SiteId">
    <vt:lpwstr>42fd9015-de4d-4223-a368-baeacab48927</vt:lpwstr>
  </property>
  <property fmtid="{D5CDD505-2E9C-101B-9397-08002B2CF9AE}" pid="7" name="MSIP_Label_05d8ed60-cd71-485b-a85b-277aaf32f506_ActionId">
    <vt:lpwstr>525b1603-7c18-459a-9fd8-1a1deb75f8f5</vt:lpwstr>
  </property>
  <property fmtid="{D5CDD505-2E9C-101B-9397-08002B2CF9AE}" pid="8" name="MSIP_Label_05d8ed60-cd71-485b-a85b-277aaf32f506_ContentBits">
    <vt:lpwstr>1</vt:lpwstr>
  </property>
  <property fmtid="{D5CDD505-2E9C-101B-9397-08002B2CF9AE}" pid="9" name="MSIP_Label_05d8ed60-cd71-485b-a85b-277aaf32f506_Tag">
    <vt:lpwstr>10, 3, 0, 1</vt:lpwstr>
  </property>
  <property fmtid="{D5CDD505-2E9C-101B-9397-08002B2CF9AE}" pid="10" name="ContentTypeId">
    <vt:lpwstr>0x01010075390098BB591B4080E644A803ABF8C4</vt:lpwstr>
  </property>
  <property fmtid="{D5CDD505-2E9C-101B-9397-08002B2CF9AE}" pid="11" name="MediaServiceImageTags">
    <vt:lpwstr/>
  </property>
</Properties>
</file>